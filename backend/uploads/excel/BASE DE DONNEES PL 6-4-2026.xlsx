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_28\Desktop\adm\PFE\PFE RH 1ST2026\"/>
    </mc:Choice>
  </mc:AlternateContent>
  <xr:revisionPtr revIDLastSave="0" documentId="13_ncr:1_{540AF4D0-AD4C-477B-B64E-49CE2FDF4CFC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demissionnaire 2025" sheetId="3" r:id="rId1"/>
    <sheet name="statistiques" sheetId="4" r:id="rId2"/>
  </sheets>
  <definedNames>
    <definedName name="_xlnm.Print_Area" localSheetId="0">'demissionnaire 2025'!$A$1:$BP$15</definedName>
    <definedName name="_xlnm.Print_Area" localSheetId="1">statistiques!$A$215:$P$229</definedName>
  </definedNames>
  <calcPr calcId="191029"/>
</workbook>
</file>

<file path=xl/calcChain.xml><?xml version="1.0" encoding="utf-8"?>
<calcChain xmlns="http://schemas.openxmlformats.org/spreadsheetml/2006/main">
  <c r="BP13" i="3" l="1"/>
  <c r="BP12" i="3"/>
  <c r="BP11" i="3"/>
  <c r="BP10" i="3"/>
  <c r="BP9" i="3"/>
  <c r="BP8" i="3"/>
  <c r="BP7" i="3"/>
  <c r="BP6" i="3"/>
  <c r="BP5" i="3"/>
  <c r="BP4" i="3"/>
  <c r="BC13" i="3"/>
  <c r="BC12" i="3"/>
  <c r="BC11" i="3"/>
  <c r="BC10" i="3"/>
  <c r="BC9" i="3"/>
  <c r="BC8" i="3"/>
  <c r="BC7" i="3"/>
  <c r="BC6" i="3"/>
  <c r="BC5" i="3"/>
  <c r="BC4" i="3"/>
  <c r="AW13" i="3"/>
  <c r="BB13" i="3" s="1"/>
  <c r="AV13" i="3"/>
  <c r="AW12" i="3"/>
  <c r="BB12" i="3" s="1"/>
  <c r="BE12" i="3" s="1"/>
  <c r="AV12" i="3"/>
  <c r="B12" i="3"/>
  <c r="AW11" i="3"/>
  <c r="BB11" i="3" s="1"/>
  <c r="BE11" i="3" s="1"/>
  <c r="AV11" i="3"/>
  <c r="BT11" i="3" s="1"/>
  <c r="AW10" i="3"/>
  <c r="BB10" i="3" s="1"/>
  <c r="BE10" i="3" s="1"/>
  <c r="AV10" i="3"/>
  <c r="AV9" i="3"/>
  <c r="BT9" i="3" s="1"/>
  <c r="AB9" i="3"/>
  <c r="BB8" i="3"/>
  <c r="BE8" i="3" s="1"/>
  <c r="AV8" i="3"/>
  <c r="AB8" i="3"/>
  <c r="AW7" i="3"/>
  <c r="AV7" i="3" s="1"/>
  <c r="BT7" i="3" s="1"/>
  <c r="AB7" i="3"/>
  <c r="BB6" i="3"/>
  <c r="BE6" i="3" s="1"/>
  <c r="AV6" i="3"/>
  <c r="BB5" i="3"/>
  <c r="BE5" i="3" s="1"/>
  <c r="AV5" i="3"/>
  <c r="AV4" i="3"/>
  <c r="BT4" i="3" s="1"/>
  <c r="AB4" i="3"/>
  <c r="A5" i="3"/>
  <c r="A6" i="3" s="1"/>
  <c r="A7" i="3" s="1"/>
  <c r="A8" i="3" s="1"/>
  <c r="A9" i="3" s="1"/>
  <c r="A10" i="3" s="1"/>
  <c r="A11" i="3" s="1"/>
  <c r="A12" i="3" s="1"/>
  <c r="A13" i="3" s="1"/>
  <c r="BP1" i="3"/>
  <c r="BQ1" i="3" s="1"/>
  <c r="BE1" i="3"/>
  <c r="D1" i="3"/>
  <c r="V4" i="3" s="1"/>
  <c r="X210" i="4"/>
  <c r="Y209" i="4" s="1"/>
  <c r="C16" i="4"/>
  <c r="BE13" i="3" l="1"/>
  <c r="BI13" i="3" s="1"/>
  <c r="BJ13" i="3" s="1"/>
  <c r="BR12" i="3"/>
  <c r="BR8" i="3"/>
  <c r="BR7" i="3"/>
  <c r="BR10" i="3"/>
  <c r="BR6" i="3"/>
  <c r="BR11" i="3"/>
  <c r="BR13" i="3"/>
  <c r="BR9" i="3"/>
  <c r="BR5" i="3"/>
  <c r="BR4" i="3"/>
  <c r="V9" i="3"/>
  <c r="W12" i="3"/>
  <c r="W8" i="3"/>
  <c r="V5" i="3"/>
  <c r="W11" i="3"/>
  <c r="W7" i="3"/>
  <c r="V13" i="3"/>
  <c r="W4" i="3"/>
  <c r="W10" i="3"/>
  <c r="W6" i="3"/>
  <c r="V12" i="3"/>
  <c r="W13" i="3"/>
  <c r="W9" i="3"/>
  <c r="W5" i="3"/>
  <c r="V8" i="3"/>
  <c r="V11" i="3"/>
  <c r="V7" i="3"/>
  <c r="V10" i="3"/>
  <c r="V6" i="3"/>
  <c r="BI5" i="3"/>
  <c r="BJ5" i="3" s="1"/>
  <c r="BF5" i="3"/>
  <c r="BI8" i="3"/>
  <c r="BJ8" i="3" s="1"/>
  <c r="BF8" i="3"/>
  <c r="BF6" i="3"/>
  <c r="BI6" i="3"/>
  <c r="BJ6" i="3" s="1"/>
  <c r="BI12" i="3"/>
  <c r="BJ12" i="3" s="1"/>
  <c r="BF12" i="3"/>
  <c r="BI10" i="3"/>
  <c r="BJ10" i="3" s="1"/>
  <c r="BF10" i="3"/>
  <c r="BI11" i="3"/>
  <c r="BJ11" i="3" s="1"/>
  <c r="BF11" i="3"/>
  <c r="AW4" i="3"/>
  <c r="BB4" i="3" s="1"/>
  <c r="BE4" i="3" s="1"/>
  <c r="BB7" i="3"/>
  <c r="BE7" i="3" s="1"/>
  <c r="AW9" i="3"/>
  <c r="BB9" i="3" s="1"/>
  <c r="Y203" i="4"/>
  <c r="Y205" i="4"/>
  <c r="Y204" i="4"/>
  <c r="Y206" i="4"/>
  <c r="Y207" i="4"/>
  <c r="Y208" i="4"/>
  <c r="G5" i="4"/>
  <c r="G6" i="4"/>
  <c r="G7" i="4"/>
  <c r="G8" i="4"/>
  <c r="G9" i="4"/>
  <c r="G10" i="4"/>
  <c r="G11" i="4"/>
  <c r="G12" i="4"/>
  <c r="G13" i="4"/>
  <c r="G14" i="4"/>
  <c r="G15" i="4"/>
  <c r="G4" i="4"/>
  <c r="BF13" i="3" l="1"/>
  <c r="BI7" i="3"/>
  <c r="BJ7" i="3" s="1"/>
  <c r="BF7" i="3"/>
  <c r="BI4" i="3"/>
  <c r="BJ4" i="3" s="1"/>
  <c r="BF4" i="3"/>
  <c r="BE9" i="3"/>
  <c r="G17" i="4"/>
  <c r="BI9" i="3" l="1"/>
  <c r="BJ9" i="3" s="1"/>
  <c r="BF9" i="3"/>
  <c r="V210" i="4"/>
  <c r="W208" i="4" s="1"/>
  <c r="W209" i="4" l="1"/>
  <c r="W205" i="4"/>
  <c r="W206" i="4"/>
  <c r="W203" i="4"/>
  <c r="W207" i="4"/>
  <c r="W204" i="4"/>
  <c r="T210" i="4" l="1"/>
  <c r="U207" i="4" s="1"/>
  <c r="U204" i="4" l="1"/>
  <c r="U208" i="4"/>
  <c r="U205" i="4"/>
  <c r="U209" i="4"/>
  <c r="U206" i="4"/>
  <c r="U203" i="4"/>
  <c r="R210" i="4" l="1"/>
  <c r="S203" i="4" l="1"/>
  <c r="S208" i="4" l="1"/>
  <c r="S204" i="4"/>
  <c r="S205" i="4"/>
  <c r="S209" i="4"/>
  <c r="S206" i="4"/>
  <c r="S207" i="4"/>
  <c r="P210" i="4" l="1"/>
  <c r="N210" i="4" l="1"/>
  <c r="J210" i="4" l="1"/>
  <c r="K206" i="4" s="1"/>
  <c r="H210" i="4"/>
  <c r="I206" i="4" s="1"/>
  <c r="F210" i="4"/>
  <c r="G208" i="4" s="1"/>
  <c r="D210" i="4"/>
  <c r="E206" i="4" s="1"/>
  <c r="B210" i="4"/>
  <c r="C206" i="4" s="1"/>
  <c r="L210" i="4"/>
  <c r="M208" i="4" s="1"/>
  <c r="M206" i="4" l="1"/>
  <c r="M205" i="4"/>
  <c r="C203" i="4"/>
  <c r="C207" i="4"/>
  <c r="M209" i="4"/>
  <c r="C204" i="4"/>
  <c r="C208" i="4"/>
  <c r="C205" i="4"/>
  <c r="C209" i="4"/>
  <c r="K207" i="4"/>
  <c r="K203" i="4"/>
  <c r="K208" i="4"/>
  <c r="K204" i="4"/>
  <c r="K209" i="4"/>
  <c r="K205" i="4"/>
  <c r="I203" i="4"/>
  <c r="I207" i="4"/>
  <c r="E203" i="4"/>
  <c r="E207" i="4"/>
  <c r="I204" i="4"/>
  <c r="I208" i="4"/>
  <c r="I205" i="4"/>
  <c r="I209" i="4"/>
  <c r="G203" i="4"/>
  <c r="G207" i="4"/>
  <c r="G205" i="4"/>
  <c r="G209" i="4"/>
  <c r="G206" i="4"/>
  <c r="G204" i="4"/>
  <c r="E204" i="4"/>
  <c r="E208" i="4"/>
  <c r="E205" i="4"/>
  <c r="E209" i="4"/>
  <c r="M203" i="4"/>
  <c r="M207" i="4"/>
  <c r="M204" i="4"/>
  <c r="A15" i="3" l="1"/>
  <c r="K107" i="4" l="1"/>
  <c r="K88" i="4"/>
  <c r="K110" i="4"/>
  <c r="E259" i="4" l="1"/>
  <c r="H8" i="4" l="1"/>
  <c r="H17" i="4" s="1"/>
  <c r="E124" i="4" l="1"/>
  <c r="C259" i="4" l="1"/>
  <c r="D221" i="4"/>
  <c r="E218" i="4" s="1"/>
  <c r="C198" i="4"/>
  <c r="D196" i="4" s="1"/>
  <c r="C180" i="4"/>
  <c r="D177" i="4" s="1"/>
  <c r="C171" i="4"/>
  <c r="D168" i="4" s="1"/>
  <c r="E140" i="4"/>
  <c r="D140" i="4" s="1"/>
  <c r="F126" i="4"/>
  <c r="F125" i="4"/>
  <c r="C125" i="4"/>
  <c r="D78" i="4"/>
  <c r="E77" i="4" s="1"/>
  <c r="D57" i="4"/>
  <c r="C58" i="4" s="1"/>
  <c r="C43" i="4"/>
  <c r="D44" i="4" s="1"/>
  <c r="D35" i="4"/>
  <c r="E33" i="4" s="1"/>
  <c r="O16" i="4"/>
  <c r="N16" i="4"/>
  <c r="M16" i="4"/>
  <c r="L16" i="4"/>
  <c r="K16" i="4"/>
  <c r="E16" i="4"/>
  <c r="D16" i="4"/>
  <c r="F15" i="4"/>
  <c r="F14" i="4"/>
  <c r="F13" i="4"/>
  <c r="F12" i="4"/>
  <c r="F11" i="4"/>
  <c r="F10" i="4"/>
  <c r="F9" i="4"/>
  <c r="F8" i="4"/>
  <c r="F7" i="4"/>
  <c r="F6" i="4"/>
  <c r="F5" i="4"/>
  <c r="F4" i="4"/>
  <c r="O1" i="4"/>
  <c r="O17" i="4" l="1"/>
  <c r="L17" i="4"/>
  <c r="E32" i="4"/>
  <c r="D197" i="4"/>
  <c r="D170" i="4"/>
  <c r="E27" i="4"/>
  <c r="E71" i="4"/>
  <c r="E72" i="4"/>
  <c r="E75" i="4"/>
  <c r="E76" i="4"/>
  <c r="E28" i="4"/>
  <c r="E24" i="4"/>
  <c r="E30" i="4"/>
  <c r="E26" i="4"/>
  <c r="E31" i="4"/>
  <c r="F16" i="4"/>
  <c r="E219" i="4"/>
  <c r="E220" i="4"/>
  <c r="E217" i="4"/>
  <c r="D193" i="4"/>
  <c r="D157" i="4"/>
  <c r="D153" i="4"/>
  <c r="D165" i="4"/>
  <c r="D161" i="4"/>
  <c r="E74" i="4"/>
  <c r="E25" i="4"/>
  <c r="E29" i="4"/>
  <c r="E34" i="4"/>
  <c r="M17" i="4"/>
  <c r="N17" i="4"/>
  <c r="D194" i="4"/>
  <c r="D191" i="4"/>
  <c r="D195" i="4"/>
  <c r="D192" i="4"/>
  <c r="D178" i="4"/>
  <c r="D179" i="4"/>
  <c r="D155" i="4"/>
  <c r="D159" i="4"/>
  <c r="D163" i="4"/>
  <c r="D167" i="4"/>
  <c r="D154" i="4"/>
  <c r="D158" i="4"/>
  <c r="D162" i="4"/>
  <c r="D166" i="4"/>
  <c r="D150" i="4"/>
  <c r="D156" i="4"/>
  <c r="D160" i="4"/>
  <c r="D164" i="4"/>
  <c r="D141" i="4"/>
  <c r="C143" i="4"/>
  <c r="E73" i="4"/>
  <c r="B58" i="4"/>
  <c r="D45" i="4"/>
  <c r="K17" i="4" l="1"/>
  <c r="E19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USER_28</author>
  </authors>
  <commentList>
    <comment ref="N8" authorId="0" shapeId="0" xr:uid="{EBF11011-98AE-4B40-BA7C-0BF85788BEEF}">
      <text>
        <r>
          <rPr>
            <b/>
            <sz val="9"/>
            <color indexed="81"/>
            <rFont val="Tahoma"/>
            <family val="2"/>
          </rPr>
          <t>USER_28:</t>
        </r>
        <r>
          <rPr>
            <sz val="9"/>
            <color indexed="81"/>
            <rFont val="Tahoma"/>
            <family val="2"/>
          </rPr>
          <t xml:space="preserve">
ONS HERGUEM ELLE VA PORTER APLAINTE AU TRIBUNAL SUITE REUNION INSP.TRAV19-5-2021
</t>
        </r>
      </text>
    </comment>
  </commentList>
</comments>
</file>

<file path=xl/sharedStrings.xml><?xml version="1.0" encoding="utf-8"?>
<sst xmlns="http://schemas.openxmlformats.org/spreadsheetml/2006/main" count="544" uniqueCount="304">
  <si>
    <t>Prénom</t>
  </si>
  <si>
    <t>Nom</t>
  </si>
  <si>
    <t>Email</t>
  </si>
  <si>
    <t>Services</t>
  </si>
  <si>
    <t>Opératrice</t>
  </si>
  <si>
    <t>N°</t>
  </si>
  <si>
    <t>AGE</t>
  </si>
  <si>
    <t>STATUT A LA D.RECT.</t>
  </si>
  <si>
    <t xml:space="preserve">1ER CONTRAT </t>
  </si>
  <si>
    <t>DUREE CONTRAT</t>
  </si>
  <si>
    <t>SITUATION FAMILLIALE</t>
  </si>
  <si>
    <t>NBR ENFANT</t>
  </si>
  <si>
    <t>D.TITULARISATION</t>
  </si>
  <si>
    <t>ADRESSE</t>
  </si>
  <si>
    <t>CHAINE</t>
  </si>
  <si>
    <t>DIR/INDIR</t>
  </si>
  <si>
    <t>COORDONNEES</t>
  </si>
  <si>
    <t>NIV.INSTRUCTION</t>
  </si>
  <si>
    <t>S.BASE</t>
  </si>
  <si>
    <t>S.BRUT</t>
  </si>
  <si>
    <t>CNSS PATR.</t>
  </si>
  <si>
    <t>QUALIFICATION/POLYVALENCE</t>
  </si>
  <si>
    <t>ANCIENNETE(année)</t>
  </si>
  <si>
    <t>TYPE CONTRAT</t>
  </si>
  <si>
    <t>Postes ACTUEL</t>
  </si>
  <si>
    <t>DIAR B.SALEM</t>
  </si>
  <si>
    <t>B.KHIAR</t>
  </si>
  <si>
    <t>LIEU NAISSANCE</t>
  </si>
  <si>
    <t>CIN</t>
  </si>
  <si>
    <t>D.CIN</t>
  </si>
  <si>
    <t>N° CNSS</t>
  </si>
  <si>
    <t>CATEG</t>
  </si>
  <si>
    <t>ECH</t>
  </si>
  <si>
    <t>DERNIER AV.</t>
  </si>
  <si>
    <t>PROCH.AVC</t>
  </si>
  <si>
    <t>DATE DERN.AUG.SAL</t>
  </si>
  <si>
    <t>CHEF DE FAMILLE OU NON</t>
  </si>
  <si>
    <t>NABEUL</t>
  </si>
  <si>
    <t>GARDIEN</t>
  </si>
  <si>
    <t>FIN CONTRAT 4 ANS</t>
  </si>
  <si>
    <t>FIN CONTRAT EN COURS</t>
  </si>
  <si>
    <t>C</t>
  </si>
  <si>
    <t>S.NET</t>
  </si>
  <si>
    <t>TUNIS</t>
  </si>
  <si>
    <t>Banque</t>
  </si>
  <si>
    <t>Mensuel /horaire</t>
  </si>
  <si>
    <t>Prime transport</t>
  </si>
  <si>
    <t>CDI</t>
  </si>
  <si>
    <t>ATB Béni-Khiar</t>
  </si>
  <si>
    <t>M</t>
  </si>
  <si>
    <t>Avec  PT</t>
  </si>
  <si>
    <t>CDD</t>
  </si>
  <si>
    <t>CAIP</t>
  </si>
  <si>
    <t>AMEN BANK</t>
  </si>
  <si>
    <t>JARDINIER</t>
  </si>
  <si>
    <t>KORBA</t>
  </si>
  <si>
    <t>OPERATEUR</t>
  </si>
  <si>
    <t>BAC ECO GEST</t>
  </si>
  <si>
    <t>MAAMOURA</t>
  </si>
  <si>
    <t>Type C ACTUEL</t>
  </si>
  <si>
    <t>STE</t>
  </si>
  <si>
    <t>D.BSALEM</t>
  </si>
  <si>
    <t>D.CHABEN</t>
  </si>
  <si>
    <t>EFFECTIF</t>
  </si>
  <si>
    <t>%</t>
  </si>
  <si>
    <t>MENSUEL</t>
  </si>
  <si>
    <t>HORAIRE</t>
  </si>
  <si>
    <t>MOYENNE D'AGE</t>
  </si>
  <si>
    <t>MOYENNE ANCIENNETE</t>
  </si>
  <si>
    <t>PAT</t>
  </si>
  <si>
    <t>LPE</t>
  </si>
  <si>
    <t>GENERAL INTERIM</t>
  </si>
  <si>
    <t>E2</t>
  </si>
  <si>
    <t>E3</t>
  </si>
  <si>
    <t>E1</t>
  </si>
  <si>
    <t>TX H</t>
  </si>
  <si>
    <t>C.SAL/h</t>
  </si>
  <si>
    <t>MAT</t>
  </si>
  <si>
    <t>SEXE</t>
  </si>
  <si>
    <t>F</t>
  </si>
  <si>
    <t>EFFECTIF / SEXE</t>
  </si>
  <si>
    <t>FEMININ</t>
  </si>
  <si>
    <t>MASCULIN</t>
  </si>
  <si>
    <t>ASSURANCE VIE COTIS PAT</t>
  </si>
  <si>
    <t>TOTAL</t>
  </si>
  <si>
    <t>1ere D.RECRUTEMENT</t>
  </si>
  <si>
    <t>OBSERV.ENTRE 1ERE D.RECT ET DERN.D.RECT</t>
  </si>
  <si>
    <t>DERN.D.RECRUTEMENT</t>
  </si>
  <si>
    <t>ADM</t>
  </si>
  <si>
    <t>D.DEC.ACCT DE TRAVAIL</t>
  </si>
  <si>
    <t>FORMATION</t>
  </si>
  <si>
    <t>PTT</t>
  </si>
  <si>
    <t>D.NAISSANCE</t>
  </si>
  <si>
    <t>C3</t>
  </si>
  <si>
    <t>OBSERVATIONS FAMILLIALES</t>
  </si>
  <si>
    <t>C1</t>
  </si>
  <si>
    <t>C.SAL/MOIS</t>
  </si>
  <si>
    <t>C.SAL/AN SOIT 13 SALAIRES</t>
  </si>
  <si>
    <t>AUTRES AVANTAGES/SALAIRE</t>
  </si>
  <si>
    <t>C.SAL/MOIS (13sal)</t>
  </si>
  <si>
    <t>CMS ROBOT</t>
  </si>
  <si>
    <t>CHAUFFEUR</t>
  </si>
  <si>
    <t>OUI</t>
  </si>
  <si>
    <t>CIVP</t>
  </si>
  <si>
    <t>MAGASIN</t>
  </si>
  <si>
    <t>EXECUTION</t>
  </si>
  <si>
    <t xml:space="preserve">CADRE /ING </t>
  </si>
  <si>
    <t>depart</t>
  </si>
  <si>
    <t>recrutement</t>
  </si>
  <si>
    <t>NBr</t>
  </si>
  <si>
    <t>TURN OVER</t>
  </si>
  <si>
    <t>TX DEPART</t>
  </si>
  <si>
    <t>EFFECTIF MOYEN</t>
  </si>
  <si>
    <t>REGION</t>
  </si>
  <si>
    <t>VENTILATION DU PERSONNEL / SOCIETE</t>
  </si>
  <si>
    <t>VENTILATION DU PERSONNEL / ANCIENNETE</t>
  </si>
  <si>
    <t>VENTILATION DU PERSONNEL / REGION</t>
  </si>
  <si>
    <t>VENTILATION DU PERSONNEL / SEXE</t>
  </si>
  <si>
    <t>VENTILATION DU PERSONNEL / PAIE</t>
  </si>
  <si>
    <t>VENTILATION DU PERSONNEL/ AGE</t>
  </si>
  <si>
    <t>VENTILATION DU PERSONNEL / TYPE CONTRAT</t>
  </si>
  <si>
    <t xml:space="preserve">effectif debut du mois </t>
  </si>
  <si>
    <t>ventilation des departs</t>
  </si>
  <si>
    <t>nbr depart</t>
  </si>
  <si>
    <t>retraite</t>
  </si>
  <si>
    <t>abandon</t>
  </si>
  <si>
    <t>autre</t>
  </si>
  <si>
    <t>total</t>
  </si>
  <si>
    <t>PERIODE DE STAGE+n° contrat</t>
  </si>
  <si>
    <t>CMS MANUEL</t>
  </si>
  <si>
    <t>CHEF</t>
  </si>
  <si>
    <t>COMPTABILITE</t>
  </si>
  <si>
    <t>QUALITE</t>
  </si>
  <si>
    <t>ACHAT</t>
  </si>
  <si>
    <t>TEST</t>
  </si>
  <si>
    <t>INTEGRATION</t>
  </si>
  <si>
    <t>INDUS</t>
  </si>
  <si>
    <t>VAGUE ET TRADE</t>
  </si>
  <si>
    <t>VENTILATION DU PERSONNEL / CHAINE</t>
  </si>
  <si>
    <t>ADMINISTRATION</t>
  </si>
  <si>
    <t>MAINTENANCE</t>
  </si>
  <si>
    <t>VAGUE TRADE</t>
  </si>
  <si>
    <t>TYPE CONTRAT actuel</t>
  </si>
  <si>
    <t xml:space="preserve">DERN AUG.SAL/PRIME </t>
  </si>
  <si>
    <t>IND.ADM</t>
  </si>
  <si>
    <t>DIR.</t>
  </si>
  <si>
    <t>IND.PROD</t>
  </si>
  <si>
    <t>VENTILATION DU PERSONNEL / DIR ET IND</t>
  </si>
  <si>
    <t>DIR</t>
  </si>
  <si>
    <t>SOMAA</t>
  </si>
  <si>
    <t>NON</t>
  </si>
  <si>
    <t>DERNIERE MISE A JOUR</t>
  </si>
  <si>
    <t>VILLE/DELEGATION</t>
  </si>
  <si>
    <t>APPRENTIS</t>
  </si>
  <si>
    <t>TX COMPLET</t>
  </si>
  <si>
    <t>VENTILATION DU PERSONNEL / CATEGORIE :APPRENTIS+CIVP+CAIP</t>
  </si>
  <si>
    <t>CELIBATAIRE</t>
  </si>
  <si>
    <t>FIANCE</t>
  </si>
  <si>
    <t>MARIE</t>
  </si>
  <si>
    <t>DIVORCE</t>
  </si>
  <si>
    <t>VENTILATION DU PERSONNEL /SITUATION SOCIALE DECLAREE</t>
  </si>
  <si>
    <t>PRODUCTION</t>
  </si>
  <si>
    <t>SERVICE</t>
  </si>
  <si>
    <t>COMMERCIAL</t>
  </si>
  <si>
    <t>VENTILATION DU PERSONNEL /DIPLÔME</t>
  </si>
  <si>
    <t xml:space="preserve">BAC ET + </t>
  </si>
  <si>
    <t>S.B.HMIDA</t>
  </si>
  <si>
    <t>ARIJ</t>
  </si>
  <si>
    <t>RYM</t>
  </si>
  <si>
    <t>HEJER</t>
  </si>
  <si>
    <t>ELYES</t>
  </si>
  <si>
    <t>ENCADREUR NOM &amp; PRENOM</t>
  </si>
  <si>
    <t>ENCADRES</t>
  </si>
  <si>
    <t>LAMIA</t>
  </si>
  <si>
    <t>ASMA</t>
  </si>
  <si>
    <t>TEL</t>
  </si>
  <si>
    <t>TT</t>
  </si>
  <si>
    <t>F.MENAGE</t>
  </si>
  <si>
    <t>CADRE / MAITRISARD</t>
  </si>
  <si>
    <t>MASTER</t>
  </si>
  <si>
    <t>LICENCE/TECH SUP</t>
  </si>
  <si>
    <t>MAGASIN EXP</t>
  </si>
  <si>
    <t>OPERATEURS</t>
  </si>
  <si>
    <t>PR PANIER</t>
  </si>
  <si>
    <t>PR TRSP</t>
  </si>
  <si>
    <t>PR PRS</t>
  </si>
  <si>
    <t>PR PRESENCE</t>
  </si>
  <si>
    <t>AUTRE PR</t>
  </si>
  <si>
    <t>PRESTATAIRE</t>
  </si>
  <si>
    <t>GERANT</t>
  </si>
  <si>
    <t>EXECUTION NIVEAU PRIMAIRE</t>
  </si>
  <si>
    <t>ADM ACHAT</t>
  </si>
  <si>
    <t>4</t>
  </si>
  <si>
    <t>g+3p</t>
  </si>
  <si>
    <t>LIC ELECT INFO INDU</t>
  </si>
  <si>
    <t>H</t>
  </si>
  <si>
    <t>7EB</t>
  </si>
  <si>
    <t>AUTRES PRIMES</t>
  </si>
  <si>
    <t>VAGUE</t>
  </si>
  <si>
    <t>LIC GENIE ELECRIQUE</t>
  </si>
  <si>
    <t>AGENT TEST</t>
  </si>
  <si>
    <t>OPER.MAGASIN</t>
  </si>
  <si>
    <t>ASSIST.INDUS</t>
  </si>
  <si>
    <t>MAINTENANCE+REPARATION</t>
  </si>
  <si>
    <t>M.TEMIM</t>
  </si>
  <si>
    <t>TECH/RESP</t>
  </si>
  <si>
    <t>ELHAMMA</t>
  </si>
  <si>
    <t>BZ</t>
  </si>
  <si>
    <t>rect de masse juin</t>
  </si>
  <si>
    <t>ETUDES ET DEVLOPPEMENT</t>
  </si>
  <si>
    <t>ETUDES</t>
  </si>
  <si>
    <t>ING MECATRONIQUE</t>
  </si>
  <si>
    <t>STB KORBA</t>
  </si>
  <si>
    <t>OPERATEUR MAGASIN</t>
  </si>
  <si>
    <t xml:space="preserve">DU 6-3-24 AU 5-3-25 N°614 </t>
  </si>
  <si>
    <t xml:space="preserve">ING ELECTRONIQUE ET COMMUNICATION </t>
  </si>
  <si>
    <t>RESP ET ASST PROD +CALC RDT</t>
  </si>
  <si>
    <t>RESP MAG +OPER,MAGASIN IMP/EXP</t>
  </si>
  <si>
    <t>prestataires</t>
  </si>
  <si>
    <t>ANCIENENTE REELLE</t>
  </si>
  <si>
    <t>ANCIENNETE REELLE</t>
  </si>
  <si>
    <t>9EB</t>
  </si>
  <si>
    <t>BENI KHALLED</t>
  </si>
  <si>
    <t>DU 8-2-21 AU 31-12-22 AC</t>
  </si>
  <si>
    <t xml:space="preserve">SON MARI MED </t>
  </si>
  <si>
    <t>BIAT</t>
  </si>
  <si>
    <t>TOTAL PL AVEC AVANTAGE</t>
  </si>
  <si>
    <t>CHEIMA</t>
  </si>
  <si>
    <t>DORRA</t>
  </si>
  <si>
    <t>FREDERIQUE</t>
  </si>
  <si>
    <t>HAYET</t>
  </si>
  <si>
    <t>HAFEDH</t>
  </si>
  <si>
    <t>SOURAYA</t>
  </si>
  <si>
    <t>HEDIL</t>
  </si>
  <si>
    <t>CMS MANU</t>
  </si>
  <si>
    <t>YOUSSEF</t>
  </si>
  <si>
    <t>EMIRA</t>
  </si>
  <si>
    <t>CHARGEE QUALITE</t>
  </si>
  <si>
    <t>MASTER MANAGEMENT INTEGRE</t>
  </si>
  <si>
    <t>SERVICE QUALITE</t>
  </si>
  <si>
    <t>OPERATRICE VAGUE</t>
  </si>
  <si>
    <t xml:space="preserve">LIC PHOTOGRAPHE </t>
  </si>
  <si>
    <t>LIC AUTO ET INFO INDUS</t>
  </si>
  <si>
    <t>DU 3-9-2024 au 2-9-25 n°1541/2024</t>
  </si>
  <si>
    <t>SFAX</t>
  </si>
  <si>
    <t>SON PÈRE MHEDHEB 54740376//SA MERE 53470373</t>
  </si>
  <si>
    <t>STB SKHIRA SFAX</t>
  </si>
  <si>
    <t>DU 22-9-2023 AU 21-9-2023 N°1752-2023///DU 22-9-2024 AU 21-9-2025 N°1626/2024</t>
  </si>
  <si>
    <t>DU 26-9-2024 AU 25-9-2025 N°1710/2024</t>
  </si>
  <si>
    <t>de 3,063 à 3,270// 1-10-24 de 3,27 à 3,452</t>
  </si>
  <si>
    <t>du 24-10-24 au 23-10-2025 contrat n°2005/2024</t>
  </si>
  <si>
    <t>DU 03-11-2023 AU 05-11-2024 n°2174/2023 ///DU 7-11-2024 AU 6-11-2025 N°2089/2024</t>
  </si>
  <si>
    <t>deces</t>
  </si>
  <si>
    <t>KELIBIA</t>
  </si>
  <si>
    <t>BOUJRIDA</t>
  </si>
  <si>
    <t>mise à jour 1-1-2025</t>
  </si>
  <si>
    <t>mise à jour 1-1-2025 net</t>
  </si>
  <si>
    <t>tx horaire</t>
  </si>
  <si>
    <t>sal net</t>
  </si>
  <si>
    <t>1-5-24 aug 100d // 1-1-25 aug 50d</t>
  </si>
  <si>
    <t>1-1-25 aug 100d</t>
  </si>
  <si>
    <t>TEST AOI</t>
  </si>
  <si>
    <t>QUALITE PRODUIT</t>
  </si>
  <si>
    <t>COMMERCIAL+ACHAT</t>
  </si>
  <si>
    <t>DU 1-4-2024 au 31-03-2025 n°688/2024///EXO CNSS 2 ANS du 1-4-2025 au 31-3-2027 n°51-2025</t>
  </si>
  <si>
    <t>DU 23/8/2024   AU 13/4/2025  n°1476/2024///du 15-4-25 au 14-4-26 n°666-2025</t>
  </si>
  <si>
    <t>AVTG.CDD/CNSS</t>
  </si>
  <si>
    <t>mariage et depart au canada</t>
  </si>
  <si>
    <t>nbr</t>
  </si>
  <si>
    <t>tx</t>
  </si>
  <si>
    <t>INDIR.Q</t>
  </si>
  <si>
    <t>1-3-2025 E3-E1</t>
  </si>
  <si>
    <t>licenciement/fin contrat/ARRET DE CONTRAT</t>
  </si>
  <si>
    <t>TX D'ATTRITION (RECRUE 2025)</t>
  </si>
  <si>
    <t>NOMBRE</t>
  </si>
  <si>
    <t>ANCIENNETE</t>
  </si>
  <si>
    <t xml:space="preserve">BUS LPE </t>
  </si>
  <si>
    <t>TRS LPE</t>
  </si>
  <si>
    <t xml:space="preserve">TRANSPORT ASSURE PAR LPE </t>
  </si>
  <si>
    <t xml:space="preserve">LIGNE :  NABEUL A LPE </t>
  </si>
  <si>
    <t>LIGNE : ACTUELLEMENT DE BENI KHIAR A LPE</t>
  </si>
  <si>
    <t>BUS</t>
  </si>
  <si>
    <t xml:space="preserve">TAXI </t>
  </si>
  <si>
    <t>17</t>
  </si>
  <si>
    <t>1--11-25</t>
  </si>
  <si>
    <t>civp 600d/mois à 4,215/h</t>
  </si>
  <si>
    <t>38</t>
  </si>
  <si>
    <t>78</t>
  </si>
  <si>
    <t>RIB 20 chiffres</t>
  </si>
  <si>
    <t xml:space="preserve">SON MARI </t>
  </si>
  <si>
    <t xml:space="preserve">SAMI SON PÈRE </t>
  </si>
  <si>
    <t xml:space="preserve">LOTFI PÈRE  SA MERE MERIEM </t>
  </si>
  <si>
    <t xml:space="preserve">SON PÈRE RAMZI </t>
  </si>
  <si>
    <t xml:space="preserve">SA MERE </t>
  </si>
  <si>
    <t xml:space="preserve">SON PÈRE </t>
  </si>
  <si>
    <t xml:space="preserve">SON PÈRE  SA MERE </t>
  </si>
  <si>
    <t>11111111111111111111</t>
  </si>
  <si>
    <t>abcde</t>
  </si>
  <si>
    <t>lmob</t>
  </si>
  <si>
    <t>PRIME 20,,, net</t>
  </si>
  <si>
    <t>CARB</t>
  </si>
  <si>
    <t>MOTIV</t>
  </si>
  <si>
    <t>RENDT</t>
  </si>
  <si>
    <t>DATE VISITE MEDICAL D'EMBAUCHE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</si>
</sst>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0.000"/>
    <numFmt numFmtId="167" formatCode="[$-40C]General"/>
    <numFmt numFmtId="168" formatCode="_-* #,##0.00\ _F_-;\-* #,##0.00\ _F_-;_-* &quot;-&quot;??\ _F_-;_-@_-"/>
    <numFmt numFmtId="169" formatCode="[$-40C]mmm\-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3A4F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6">
    <xf numFmtId="0" fontId="0" fillId="0" borderId="0"/>
    <xf numFmtId="0" fontId="4" fillId="0" borderId="0"/>
    <xf numFmtId="9" fontId="7" fillId="0" borderId="0" applyFont="0" applyFill="0" applyBorder="0" applyAlignment="0" applyProtection="0"/>
    <xf numFmtId="167" fontId="8" fillId="0" borderId="0"/>
    <xf numFmtId="0" fontId="4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65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1" fillId="0" borderId="1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14" fontId="1" fillId="3" borderId="0" xfId="0" applyNumberFormat="1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66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166" fontId="1" fillId="4" borderId="0" xfId="0" applyNumberFormat="1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wrapText="1"/>
    </xf>
    <xf numFmtId="0" fontId="0" fillId="2" borderId="0" xfId="0" applyFill="1"/>
    <xf numFmtId="10" fontId="1" fillId="2" borderId="0" xfId="0" applyNumberFormat="1" applyFont="1" applyFill="1" applyAlignment="1">
      <alignment horizontal="center" vertical="top" wrapText="1"/>
    </xf>
    <xf numFmtId="10" fontId="1" fillId="2" borderId="0" xfId="2" applyNumberFormat="1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10" fontId="1" fillId="0" borderId="1" xfId="2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10" fontId="1" fillId="0" borderId="0" xfId="2" applyNumberFormat="1" applyFont="1" applyAlignment="1">
      <alignment horizontal="center" vertical="top" wrapText="1"/>
    </xf>
    <xf numFmtId="0" fontId="16" fillId="4" borderId="0" xfId="0" applyFont="1" applyFill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9" fontId="14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9" fontId="1" fillId="0" borderId="1" xfId="2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top" wrapText="1"/>
    </xf>
    <xf numFmtId="10" fontId="9" fillId="0" borderId="1" xfId="2" applyNumberFormat="1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10" fillId="0" borderId="1" xfId="0" applyNumberFormat="1" applyFont="1" applyBorder="1" applyAlignment="1">
      <alignment horizontal="center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/>
    </xf>
    <xf numFmtId="14" fontId="11" fillId="0" borderId="1" xfId="0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14" fontId="11" fillId="5" borderId="1" xfId="0" applyNumberFormat="1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 wrapText="1"/>
    </xf>
    <xf numFmtId="2" fontId="10" fillId="0" borderId="1" xfId="0" applyNumberFormat="1" applyFont="1" applyBorder="1" applyAlignment="1">
      <alignment horizontal="center" vertical="top" wrapText="1"/>
    </xf>
    <xf numFmtId="16" fontId="10" fillId="6" borderId="1" xfId="0" applyNumberFormat="1" applyFont="1" applyFill="1" applyBorder="1" applyAlignment="1">
      <alignment horizontal="center" vertical="top" wrapText="1"/>
    </xf>
    <xf numFmtId="14" fontId="10" fillId="4" borderId="1" xfId="0" applyNumberFormat="1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166" fontId="10" fillId="0" borderId="1" xfId="0" applyNumberFormat="1" applyFont="1" applyBorder="1" applyAlignment="1">
      <alignment horizontal="center" vertical="top" wrapText="1"/>
    </xf>
    <xf numFmtId="0" fontId="11" fillId="0" borderId="1" xfId="0" applyFont="1" applyBorder="1"/>
    <xf numFmtId="0" fontId="6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10" fontId="1" fillId="0" borderId="1" xfId="2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center"/>
    </xf>
    <xf numFmtId="10" fontId="1" fillId="0" borderId="0" xfId="2" applyNumberFormat="1" applyFont="1" applyFill="1" applyBorder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166" fontId="0" fillId="0" borderId="0" xfId="0" applyNumberFormat="1"/>
    <xf numFmtId="166" fontId="1" fillId="0" borderId="0" xfId="0" applyNumberFormat="1" applyFont="1" applyAlignment="1">
      <alignment horizontal="right" wrapText="1"/>
    </xf>
    <xf numFmtId="166" fontId="10" fillId="0" borderId="0" xfId="0" applyNumberFormat="1" applyFont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top" wrapText="1"/>
    </xf>
    <xf numFmtId="10" fontId="1" fillId="3" borderId="0" xfId="2" applyNumberFormat="1" applyFont="1" applyFill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 wrapText="1"/>
    </xf>
    <xf numFmtId="166" fontId="1" fillId="7" borderId="1" xfId="0" applyNumberFormat="1" applyFont="1" applyFill="1" applyBorder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10" fontId="1" fillId="6" borderId="0" xfId="0" applyNumberFormat="1" applyFont="1" applyFill="1" applyAlignment="1">
      <alignment horizontal="center" vertical="center" wrapText="1"/>
    </xf>
    <xf numFmtId="10" fontId="1" fillId="4" borderId="0" xfId="0" applyNumberFormat="1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center" wrapText="1"/>
    </xf>
    <xf numFmtId="166" fontId="9" fillId="4" borderId="0" xfId="0" applyNumberFormat="1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10" fontId="9" fillId="4" borderId="0" xfId="0" applyNumberFormat="1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center" wrapText="1"/>
    </xf>
    <xf numFmtId="17" fontId="1" fillId="4" borderId="0" xfId="0" applyNumberFormat="1" applyFont="1" applyFill="1" applyAlignment="1">
      <alignment horizontal="center" vertical="top" wrapText="1"/>
    </xf>
    <xf numFmtId="17" fontId="1" fillId="9" borderId="0" xfId="0" applyNumberFormat="1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17" fontId="1" fillId="10" borderId="0" xfId="0" applyNumberFormat="1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17" fontId="1" fillId="11" borderId="0" xfId="0" applyNumberFormat="1" applyFont="1" applyFill="1" applyAlignment="1">
      <alignment horizontal="center" vertical="top" wrapText="1"/>
    </xf>
    <xf numFmtId="0" fontId="1" fillId="11" borderId="0" xfId="0" applyFont="1" applyFill="1" applyAlignment="1">
      <alignment horizontal="center" vertical="top" wrapText="1"/>
    </xf>
    <xf numFmtId="17" fontId="1" fillId="12" borderId="0" xfId="0" applyNumberFormat="1" applyFont="1" applyFill="1" applyAlignment="1">
      <alignment horizontal="center" vertical="top" wrapText="1"/>
    </xf>
    <xf numFmtId="0" fontId="1" fillId="12" borderId="0" xfId="0" applyFont="1" applyFill="1" applyAlignment="1">
      <alignment horizontal="center" vertical="top" wrapText="1"/>
    </xf>
    <xf numFmtId="17" fontId="1" fillId="13" borderId="0" xfId="0" applyNumberFormat="1" applyFont="1" applyFill="1" applyAlignment="1">
      <alignment horizontal="center" vertical="top" wrapText="1"/>
    </xf>
    <xf numFmtId="0" fontId="1" fillId="13" borderId="0" xfId="0" applyFont="1" applyFill="1" applyAlignment="1">
      <alignment horizontal="center" vertical="top" wrapText="1"/>
    </xf>
    <xf numFmtId="0" fontId="1" fillId="13" borderId="1" xfId="0" applyFont="1" applyFill="1" applyBorder="1" applyAlignment="1">
      <alignment horizontal="center" vertical="top" wrapText="1"/>
    </xf>
    <xf numFmtId="10" fontId="1" fillId="13" borderId="1" xfId="2" applyNumberFormat="1" applyFont="1" applyFill="1" applyBorder="1" applyAlignment="1">
      <alignment horizontal="center" vertical="top" wrapText="1"/>
    </xf>
    <xf numFmtId="10" fontId="1" fillId="4" borderId="1" xfId="2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10" fontId="1" fillId="9" borderId="1" xfId="2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10" fontId="1" fillId="10" borderId="1" xfId="0" applyNumberFormat="1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10" fontId="1" fillId="11" borderId="1" xfId="0" applyNumberFormat="1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center" vertical="top" wrapText="1"/>
    </xf>
    <xf numFmtId="10" fontId="1" fillId="12" borderId="1" xfId="0" applyNumberFormat="1" applyFont="1" applyFill="1" applyBorder="1" applyAlignment="1">
      <alignment horizontal="center" vertical="top" wrapText="1"/>
    </xf>
    <xf numFmtId="0" fontId="1" fillId="13" borderId="6" xfId="0" applyFont="1" applyFill="1" applyBorder="1" applyAlignment="1">
      <alignment horizontal="center" vertical="top" wrapText="1"/>
    </xf>
    <xf numFmtId="10" fontId="1" fillId="13" borderId="6" xfId="2" applyNumberFormat="1" applyFont="1" applyFill="1" applyBorder="1" applyAlignment="1">
      <alignment horizontal="center" vertical="top" wrapText="1"/>
    </xf>
    <xf numFmtId="17" fontId="1" fillId="8" borderId="0" xfId="0" applyNumberFormat="1" applyFont="1" applyFill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10" fontId="1" fillId="8" borderId="1" xfId="2" applyNumberFormat="1" applyFont="1" applyFill="1" applyBorder="1" applyAlignment="1">
      <alignment horizontal="center" vertical="top" wrapText="1"/>
    </xf>
    <xf numFmtId="0" fontId="1" fillId="14" borderId="1" xfId="0" applyFont="1" applyFill="1" applyBorder="1" applyAlignment="1">
      <alignment horizontal="center" vertical="top" wrapText="1"/>
    </xf>
    <xf numFmtId="10" fontId="1" fillId="14" borderId="1" xfId="2" applyNumberFormat="1" applyFont="1" applyFill="1" applyBorder="1" applyAlignment="1">
      <alignment horizontal="center" vertical="top" wrapText="1"/>
    </xf>
    <xf numFmtId="17" fontId="1" fillId="14" borderId="0" xfId="0" applyNumberFormat="1" applyFont="1" applyFill="1" applyAlignment="1">
      <alignment horizontal="center" vertical="top" wrapText="1"/>
    </xf>
    <xf numFmtId="166" fontId="10" fillId="15" borderId="1" xfId="0" applyNumberFormat="1" applyFont="1" applyFill="1" applyBorder="1" applyAlignment="1">
      <alignment horizontal="center" vertical="top" wrapText="1"/>
    </xf>
    <xf numFmtId="17" fontId="1" fillId="16" borderId="0" xfId="0" applyNumberFormat="1" applyFont="1" applyFill="1" applyAlignment="1">
      <alignment horizontal="center" vertical="top" wrapText="1"/>
    </xf>
    <xf numFmtId="0" fontId="1" fillId="16" borderId="1" xfId="0" applyFont="1" applyFill="1" applyBorder="1" applyAlignment="1">
      <alignment horizontal="center" vertical="top" wrapText="1"/>
    </xf>
    <xf numFmtId="10" fontId="1" fillId="16" borderId="1" xfId="2" applyNumberFormat="1" applyFont="1" applyFill="1" applyBorder="1" applyAlignment="1">
      <alignment horizontal="center" vertical="top" wrapText="1"/>
    </xf>
    <xf numFmtId="17" fontId="1" fillId="17" borderId="0" xfId="0" applyNumberFormat="1" applyFont="1" applyFill="1" applyAlignment="1">
      <alignment horizontal="center" vertical="top" wrapText="1"/>
    </xf>
    <xf numFmtId="0" fontId="1" fillId="17" borderId="1" xfId="0" applyFont="1" applyFill="1" applyBorder="1" applyAlignment="1">
      <alignment horizontal="center" vertical="top" wrapText="1"/>
    </xf>
    <xf numFmtId="10" fontId="1" fillId="17" borderId="1" xfId="2" applyNumberFormat="1" applyFont="1" applyFill="1" applyBorder="1" applyAlignment="1">
      <alignment horizontal="center" vertical="top" wrapText="1"/>
    </xf>
    <xf numFmtId="10" fontId="1" fillId="3" borderId="0" xfId="2" applyNumberFormat="1" applyFont="1" applyFill="1" applyAlignment="1">
      <alignment horizontal="center" vertical="center" wrapText="1"/>
    </xf>
    <xf numFmtId="17" fontId="1" fillId="18" borderId="0" xfId="0" applyNumberFormat="1" applyFont="1" applyFill="1" applyAlignment="1">
      <alignment horizontal="center" vertical="top" wrapText="1"/>
    </xf>
    <xf numFmtId="0" fontId="1" fillId="18" borderId="1" xfId="0" applyFont="1" applyFill="1" applyBorder="1" applyAlignment="1">
      <alignment horizontal="center" vertical="top" wrapText="1"/>
    </xf>
    <xf numFmtId="10" fontId="1" fillId="18" borderId="1" xfId="2" applyNumberFormat="1" applyFont="1" applyFill="1" applyBorder="1" applyAlignment="1">
      <alignment horizontal="center" vertical="top" wrapText="1"/>
    </xf>
    <xf numFmtId="17" fontId="1" fillId="19" borderId="0" xfId="0" applyNumberFormat="1" applyFont="1" applyFill="1" applyAlignment="1">
      <alignment horizontal="center" vertical="top" wrapText="1"/>
    </xf>
    <xf numFmtId="0" fontId="1" fillId="19" borderId="0" xfId="0" applyFont="1" applyFill="1" applyAlignment="1">
      <alignment horizontal="center" vertical="top" wrapText="1"/>
    </xf>
    <xf numFmtId="0" fontId="1" fillId="19" borderId="1" xfId="0" applyFont="1" applyFill="1" applyBorder="1" applyAlignment="1">
      <alignment horizontal="center" vertical="top" wrapText="1"/>
    </xf>
    <xf numFmtId="10" fontId="1" fillId="19" borderId="1" xfId="2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center"/>
    </xf>
  </cellXfs>
  <cellStyles count="126">
    <cellStyle name="Excel Built-in Normal" xfId="3" xr:uid="{C24A0A3E-270C-4E66-B390-7CC086D6A262}"/>
    <cellStyle name="Milliers 2" xfId="7" xr:uid="{17A04ECF-2E0F-4C6B-8F05-BC1326DFFA7B}"/>
    <cellStyle name="Normal" xfId="0" builtinId="0"/>
    <cellStyle name="Normal 10" xfId="8" xr:uid="{CA39ED5F-A87D-4988-82A4-ECCDC16B83F3}"/>
    <cellStyle name="Normal 10 2" xfId="5" xr:uid="{0995F150-9751-4414-83F4-461F2786F850}"/>
    <cellStyle name="Normal 11" xfId="9" xr:uid="{5FDC97C4-4ADA-4499-BEC6-A0652BCCB71D}"/>
    <cellStyle name="Normal 11 2" xfId="10" xr:uid="{ED0323AA-A759-406D-9E5E-6920D3607918}"/>
    <cellStyle name="Normal 12" xfId="11" xr:uid="{456E95BE-9E02-4C86-8979-6E3B50ECA7CC}"/>
    <cellStyle name="Normal 12 2" xfId="12" xr:uid="{C3FB69CF-F76E-4E7D-AEEB-6CF90A2E8D79}"/>
    <cellStyle name="Normal 13" xfId="13" xr:uid="{8B882315-3785-4D7E-99E6-1EE378F9F3D8}"/>
    <cellStyle name="Normal 13 2" xfId="14" xr:uid="{34EA83E8-5E3C-4451-8C93-E1F3C95942D2}"/>
    <cellStyle name="Normal 14" xfId="15" xr:uid="{60EBE5C7-5F7C-42CB-8BD2-546A53D41817}"/>
    <cellStyle name="Normal 14 2" xfId="16" xr:uid="{A94B55A4-2A38-4D83-A7BC-68157E3ABDEA}"/>
    <cellStyle name="Normal 15" xfId="17" xr:uid="{FED886E4-7F0C-4C45-877E-B4898AD437C1}"/>
    <cellStyle name="Normal 15 2" xfId="18" xr:uid="{601CDCDD-AB4B-4589-BEAC-65DF9E756C94}"/>
    <cellStyle name="Normal 16" xfId="19" xr:uid="{FBF9A074-B618-42C2-B62D-0B0ECE309D38}"/>
    <cellStyle name="Normal 16 2" xfId="20" xr:uid="{F400E4C3-CECF-4168-82AF-A36970144216}"/>
    <cellStyle name="Normal 17" xfId="21" xr:uid="{5E50DAE0-E55F-4061-9CA3-4E0D67C841B3}"/>
    <cellStyle name="Normal 17 2" xfId="22" xr:uid="{A723ED0F-069F-4301-9A5B-DD0FBFAB7E64}"/>
    <cellStyle name="Normal 18" xfId="23" xr:uid="{1AA6DC2C-C2E6-4A2B-90ED-4D3CA26AAE72}"/>
    <cellStyle name="Normal 18 2" xfId="24" xr:uid="{ED17065B-223A-4E50-8C63-A8560C496F8A}"/>
    <cellStyle name="Normal 19" xfId="25" xr:uid="{C9069C33-8CEB-4F14-B68C-D02DB37D4FAE}"/>
    <cellStyle name="Normal 19 2" xfId="26" xr:uid="{E91A4598-93A1-482F-95DE-C8AFBD14F154}"/>
    <cellStyle name="Normal 2" xfId="27" xr:uid="{F2A2C50E-1DD4-480A-B3DE-035473573119}"/>
    <cellStyle name="Normal 2 2" xfId="1" xr:uid="{00000000-0005-0000-0000-000001000000}"/>
    <cellStyle name="Normal 2 3" xfId="28" xr:uid="{D14ED30C-101D-457F-80EF-A9104072CD10}"/>
    <cellStyle name="Normal 20" xfId="29" xr:uid="{5BEA9FEB-BBA1-454C-B72F-83D6FCD5A312}"/>
    <cellStyle name="Normal 20 2" xfId="30" xr:uid="{2D390FF8-A45A-4DAD-93E5-BDEA3F2A27DC}"/>
    <cellStyle name="Normal 21" xfId="31" xr:uid="{DC583DA5-A9A2-4C32-858B-D3CC9BB09F3E}"/>
    <cellStyle name="Normal 21 2" xfId="32" xr:uid="{4CA1E335-1284-4553-B457-0032EA73866F}"/>
    <cellStyle name="Normal 22" xfId="33" xr:uid="{D76DEE3A-FC2B-4A06-B1F2-542D8350C172}"/>
    <cellStyle name="Normal 22 2" xfId="34" xr:uid="{F16D626A-BA79-413E-BBD5-1494A194288D}"/>
    <cellStyle name="Normal 22 2 2" xfId="35" xr:uid="{1D93865E-4A8E-4C4C-BA51-D141D6186AD4}"/>
    <cellStyle name="Normal 23" xfId="36" xr:uid="{EB3C8C97-6DBC-4C40-B9CF-A37E02BA4DF0}"/>
    <cellStyle name="Normal 24" xfId="37" xr:uid="{D3304189-33A5-4D86-A79E-81D5D790D170}"/>
    <cellStyle name="Normal 25" xfId="38" xr:uid="{84455F85-7EE4-43BA-B143-580E23ADFCC7}"/>
    <cellStyle name="Normal 26" xfId="39" xr:uid="{AE5B6D54-FB5B-45CC-88C0-755DC792B517}"/>
    <cellStyle name="Normal 27" xfId="40" xr:uid="{9B6DA00A-9359-42D0-9436-8B2D10DD0B8E}"/>
    <cellStyle name="Normal 28" xfId="41" xr:uid="{3C9DD464-B6CD-46E7-9CB7-9E9B8F8CEEAD}"/>
    <cellStyle name="Normal 29" xfId="42" xr:uid="{38635E91-C00A-44D1-80A5-B9F497188C6E}"/>
    <cellStyle name="Normal 3" xfId="43" xr:uid="{90511D55-ACB0-4406-B1EC-A846CAFA350B}"/>
    <cellStyle name="Normal 30" xfId="44" xr:uid="{AE776495-F277-4BCA-9D2D-0CCCD59530E8}"/>
    <cellStyle name="Normal 31" xfId="45" xr:uid="{19E331C8-B9A5-4145-97B7-185A93153BB4}"/>
    <cellStyle name="Normal 32" xfId="46" xr:uid="{5DD9B202-3EA0-4DC3-A71E-4F3F05C0B9EA}"/>
    <cellStyle name="Normal 33" xfId="47" xr:uid="{EEED1E07-0D6C-43E1-9609-1486F765E212}"/>
    <cellStyle name="Normal 34" xfId="48" xr:uid="{F5BF5E1C-B53A-43BF-8584-A89C455FB1DC}"/>
    <cellStyle name="Normal 35" xfId="49" xr:uid="{FBB762CA-9F72-45D2-A509-A6EB399F0805}"/>
    <cellStyle name="Normal 36" xfId="50" xr:uid="{87B81A6D-C375-4BAA-BA92-95CF25D8CE21}"/>
    <cellStyle name="Normal 36 2" xfId="94" xr:uid="{D8755FAE-9713-42D6-8A8B-D632FDF5F5A5}"/>
    <cellStyle name="Normal 37" xfId="51" xr:uid="{2FC8008D-D486-4FB2-AA90-D76357B72AB8}"/>
    <cellStyle name="Normal 38" xfId="52" xr:uid="{C92EE83E-165C-43FA-AB3A-84B6B9AD843D}"/>
    <cellStyle name="Normal 39" xfId="4" xr:uid="{C344D195-CA48-4868-BE57-716FD3FD00F3}"/>
    <cellStyle name="Normal 4" xfId="53" xr:uid="{61C3170C-C0DA-46D7-AE36-0646D9D2B264}"/>
    <cellStyle name="Normal 40" xfId="6" xr:uid="{09FE1F17-59AB-4B00-963E-0526CF322885}"/>
    <cellStyle name="Normal 41" xfId="64" xr:uid="{3D7FAAAC-467F-4A85-B093-5C284E6A2C2C}"/>
    <cellStyle name="Normal 41 2" xfId="95" xr:uid="{3DD3F51A-721A-4AAC-A9F1-5E00CBF3597C}"/>
    <cellStyle name="Normal 42" xfId="65" xr:uid="{B19BA6CF-FE36-4FB1-8218-D33C80BCFA47}"/>
    <cellStyle name="Normal 42 2" xfId="96" xr:uid="{E8DD5345-B1D4-4470-BD02-808AC20596B7}"/>
    <cellStyle name="Normal 43" xfId="66" xr:uid="{A10C03EF-2D21-4789-984D-97616CB5C2D9}"/>
    <cellStyle name="Normal 43 2" xfId="97" xr:uid="{70C6AE3F-A5D4-4D9F-B572-E58749A0D81A}"/>
    <cellStyle name="Normal 44" xfId="67" xr:uid="{076B16B0-343A-4D2D-B80C-86A3EE3CC4A9}"/>
    <cellStyle name="Normal 44 2" xfId="90" xr:uid="{ABD5F774-2862-4034-A420-9BE1BA8313A0}"/>
    <cellStyle name="Normal 45" xfId="68" xr:uid="{8E072C28-F796-4790-A537-6EDD838B2F22}"/>
    <cellStyle name="Normal 45 2" xfId="98" xr:uid="{48F3449F-0AC2-403E-978A-DFA403982A07}"/>
    <cellStyle name="Normal 46" xfId="69" xr:uid="{2D1C9A2F-D6D1-45E1-B76F-AF9F2E0A1948}"/>
    <cellStyle name="Normal 46 2" xfId="99" xr:uid="{E0400761-73F4-4EE5-A157-850B7DB91591}"/>
    <cellStyle name="Normal 47" xfId="70" xr:uid="{8CDF96DB-D6C0-4E36-B0B8-14CC84590948}"/>
    <cellStyle name="Normal 47 2" xfId="100" xr:uid="{AFD21D2E-6E84-4325-BC7E-3B22E7E8933A}"/>
    <cellStyle name="Normal 48" xfId="71" xr:uid="{78647B20-BAE0-498B-923B-DDECBE6DF2B2}"/>
    <cellStyle name="Normal 48 2" xfId="101" xr:uid="{16722648-BCD2-4447-828F-E8F54AE806E2}"/>
    <cellStyle name="Normal 49" xfId="72" xr:uid="{97C35F5E-0A5E-4BE8-8196-9616A856F29A}"/>
    <cellStyle name="Normal 49 2" xfId="102" xr:uid="{882AF832-FBCE-496E-B325-A376021E14F0}"/>
    <cellStyle name="Normal 5" xfId="54" xr:uid="{AF83F80B-E53A-4940-BF01-22FC5C9D9022}"/>
    <cellStyle name="Normal 5 2" xfId="55" xr:uid="{2AC47496-042E-4BA7-8801-CE542F9BC5F1}"/>
    <cellStyle name="Normal 50" xfId="73" xr:uid="{1C759186-F57C-45F5-B5A8-42D35C8E3AE2}"/>
    <cellStyle name="Normal 50 2" xfId="103" xr:uid="{4BACB6FD-A173-4660-8CBD-6D6B43980787}"/>
    <cellStyle name="Normal 51" xfId="74" xr:uid="{F02D95D7-9218-487F-9283-F416357D1636}"/>
    <cellStyle name="Normal 51 2" xfId="104" xr:uid="{4D7EE23E-EC7B-4760-BDF6-BB092BA78530}"/>
    <cellStyle name="Normal 52" xfId="75" xr:uid="{F89B6EA9-7FE4-4741-AB3C-B397769BE93E}"/>
    <cellStyle name="Normal 52 2" xfId="83" xr:uid="{FABB2530-C3E1-41C6-AC2D-4198849C9013}"/>
    <cellStyle name="Normal 53" xfId="76" xr:uid="{41B1DE43-9624-463E-A1C1-63526554AD25}"/>
    <cellStyle name="Normal 53 2" xfId="84" xr:uid="{8F1149C5-8562-4D4E-92B3-727F092566CD}"/>
    <cellStyle name="Normal 54" xfId="77" xr:uid="{05D70517-7B99-4865-B3EC-1CDEF05A02D7}"/>
    <cellStyle name="Normal 54 2" xfId="85" xr:uid="{E0ADD4E5-2316-4E0E-BB22-2712F36E456E}"/>
    <cellStyle name="Normal 55" xfId="78" xr:uid="{E5E849E4-D6AB-4F07-A6C6-B6DC3775F577}"/>
    <cellStyle name="Normal 55 2" xfId="86" xr:uid="{BE3497E7-4513-4094-86DB-0B90AD2066A4}"/>
    <cellStyle name="Normal 56" xfId="79" xr:uid="{A6B84EE8-89AF-4A2D-81E7-CC8F97D1F7E3}"/>
    <cellStyle name="Normal 56 2" xfId="87" xr:uid="{AF6E0411-BEE7-458A-BADF-6009F0A04751}"/>
    <cellStyle name="Normal 57" xfId="80" xr:uid="{20EC6EB9-9C03-4F3C-B59A-17B64AE56F18}"/>
    <cellStyle name="Normal 57 2" xfId="88" xr:uid="{26EBE412-CAAC-479C-A161-DB6CABD3C641}"/>
    <cellStyle name="Normal 58" xfId="81" xr:uid="{6A37E17D-530B-4E57-8612-0414A97AFE20}"/>
    <cellStyle name="Normal 58 2" xfId="89" xr:uid="{9925E326-8AD6-4EA3-A4CA-66C2409AB71D}"/>
    <cellStyle name="Normal 59" xfId="82" xr:uid="{CA14C3D8-B150-49F7-8C92-14D8C1C79681}"/>
    <cellStyle name="Normal 59 2" xfId="105" xr:uid="{E2FF948A-3A27-4D54-87BA-45D49F25C34D}"/>
    <cellStyle name="Normal 6" xfId="56" xr:uid="{3743EC1F-B771-4778-9EC7-06F9D91B7F01}"/>
    <cellStyle name="Normal 6 2" xfId="57" xr:uid="{B581E603-388F-4C5A-8D5F-63C4828BDCF1}"/>
    <cellStyle name="Normal 60" xfId="91" xr:uid="{4DFB731E-0C2C-4959-BBD9-732603BBE831}"/>
    <cellStyle name="Normal 60 2" xfId="106" xr:uid="{338BC342-682D-4F29-8008-1758B20CAB9C}"/>
    <cellStyle name="Normal 61" xfId="92" xr:uid="{703A9F2E-BBB1-438A-9B24-C4BB7B8DDFDB}"/>
    <cellStyle name="Normal 61 2" xfId="107" xr:uid="{684782A2-D3D4-4469-A2C8-E0533ECBBB83}"/>
    <cellStyle name="Normal 62" xfId="93" xr:uid="{05D7094E-0A24-4F8A-879D-E9AA413D126E}"/>
    <cellStyle name="Normal 62 2" xfId="108" xr:uid="{6F4D2B25-1958-4C21-8C17-8801B3521553}"/>
    <cellStyle name="Normal 63" xfId="109" xr:uid="{B3C51F0A-5FC3-4218-B82E-79F14BD44745}"/>
    <cellStyle name="Normal 63 2" xfId="110" xr:uid="{24F50993-1D9A-49F1-B09D-81608E35FE2F}"/>
    <cellStyle name="Normal 64" xfId="111" xr:uid="{691D686B-3F36-4A08-B74D-D197F53483DA}"/>
    <cellStyle name="Normal 64 2" xfId="112" xr:uid="{59D1E2F1-30AA-4B11-A988-5D264BFE8277}"/>
    <cellStyle name="Normal 65" xfId="113" xr:uid="{E6A02D4F-DD73-4246-AB1E-DCD90E548A7A}"/>
    <cellStyle name="Normal 65 2" xfId="114" xr:uid="{BBA94FE8-CE53-467D-97DE-B57015E29EA7}"/>
    <cellStyle name="Normal 66" xfId="115" xr:uid="{4D0553AB-AD35-4FF1-A5FD-4290A0FEABFB}"/>
    <cellStyle name="Normal 66 2" xfId="116" xr:uid="{079EA804-833E-402D-A99C-F58AC5305F20}"/>
    <cellStyle name="Normal 67" xfId="117" xr:uid="{53279345-5539-40F9-99AE-A7B5CA0E4C48}"/>
    <cellStyle name="Normal 67 2" xfId="118" xr:uid="{6F933EE5-1479-4BE9-9A87-0DE5DAD3DBB7}"/>
    <cellStyle name="Normal 68" xfId="119" xr:uid="{E51ACD9D-1B14-4B7B-8B7C-ECC343F3A9FB}"/>
    <cellStyle name="Normal 69" xfId="120" xr:uid="{99CE36FA-A7BD-4DBB-AC7B-5B8C8033E1AB}"/>
    <cellStyle name="Normal 7" xfId="58" xr:uid="{58D59CEF-096E-4186-B403-0017B05F792C}"/>
    <cellStyle name="Normal 7 2" xfId="59" xr:uid="{2A39C8D4-8669-4300-8C03-4C68158A0CE6}"/>
    <cellStyle name="Normal 70" xfId="121" xr:uid="{F0CD6D96-F173-4CEE-BB60-B730FF192829}"/>
    <cellStyle name="Normal 71" xfId="122" xr:uid="{43C14204-FDA4-46F1-81A2-53B28FC4BB7B}"/>
    <cellStyle name="Normal 72" xfId="123" xr:uid="{D22CB77C-8E49-4F81-B6D1-5F7031B70C2E}"/>
    <cellStyle name="Normal 73" xfId="124" xr:uid="{DDB42FF7-DE23-40F0-B10B-6C3C5BDBF47A}"/>
    <cellStyle name="Normal 74" xfId="125" xr:uid="{2B174AC5-14CA-492D-B4C5-56E40729F3E3}"/>
    <cellStyle name="Normal 8" xfId="60" xr:uid="{EA98A4C7-6768-4EC5-A1EC-C98268D247B1}"/>
    <cellStyle name="Normal 8 2" xfId="61" xr:uid="{76C26299-BBCC-4CEC-AFB4-EAD7527FADB5}"/>
    <cellStyle name="Normal 9" xfId="62" xr:uid="{322986C5-C55C-4D71-8080-CB646575CE3F}"/>
    <cellStyle name="Normal 9 2" xfId="63" xr:uid="{E5A71608-B417-49A7-8F7D-EB6180EBA88B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PL/REGION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statistiques!$D$23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A1-49A4-9DCD-FF129EF768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A1-49A4-9DCD-FF129EF768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A1-49A4-9DCD-FF129EF768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A1-49A4-9DCD-FF129EF768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A1-49A4-9DCD-FF129EF768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A1-49A4-9DCD-FF129EF768C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A1-49A4-9DCD-FF129EF768C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A1-49A4-9DCD-FF129EF768C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8E9-4E42-9D29-B68D8C7A77A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E3B-422C-BE32-80E413F543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011-44E1-A331-F0EA4F5910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statistiques!$B$24:$B$34</c:f>
              <c:strCache>
                <c:ptCount val="11"/>
                <c:pt idx="0">
                  <c:v>B.KHIAR</c:v>
                </c:pt>
                <c:pt idx="1">
                  <c:v>D.BSALEM</c:v>
                </c:pt>
                <c:pt idx="2">
                  <c:v>M.TEMIM</c:v>
                </c:pt>
                <c:pt idx="3">
                  <c:v>D.CHABEN</c:v>
                </c:pt>
                <c:pt idx="4">
                  <c:v>KORBA</c:v>
                </c:pt>
                <c:pt idx="5">
                  <c:v>BOUJRIDA</c:v>
                </c:pt>
                <c:pt idx="6">
                  <c:v>KELIBIA</c:v>
                </c:pt>
                <c:pt idx="7">
                  <c:v>SOMAA</c:v>
                </c:pt>
                <c:pt idx="8">
                  <c:v>MAAMOURA</c:v>
                </c:pt>
                <c:pt idx="9">
                  <c:v>TUNIS</c:v>
                </c:pt>
                <c:pt idx="10">
                  <c:v>NABEUL</c:v>
                </c:pt>
              </c:strCache>
            </c:strRef>
          </c:cat>
          <c:val>
            <c:numRef>
              <c:f>statistiques!$D$24:$D$34</c:f>
              <c:numCache>
                <c:formatCode>General</c:formatCode>
                <c:ptCount val="11"/>
                <c:pt idx="0">
                  <c:v>32</c:v>
                </c:pt>
                <c:pt idx="1">
                  <c:v>26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7">
                  <c:v>4</c:v>
                </c:pt>
                <c:pt idx="8">
                  <c:v>2</c:v>
                </c:pt>
                <c:pt idx="1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719-A831-F401328950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PL/SEXE</a:t>
            </a:r>
          </a:p>
        </c:rich>
      </c:tx>
      <c:layout>
        <c:manualLayout>
          <c:xMode val="edge"/>
          <c:yMode val="edge"/>
          <c:x val="0.34595122484689411"/>
          <c:y val="4.7725566717617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41-4BB4-8C72-C6AE0305F1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41-4BB4-8C72-C6AE0305F1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statistiques!$B$44:$B$45</c:f>
              <c:strCache>
                <c:ptCount val="2"/>
                <c:pt idx="0">
                  <c:v>FEMININ</c:v>
                </c:pt>
                <c:pt idx="1">
                  <c:v>MASCULIN</c:v>
                </c:pt>
              </c:strCache>
            </c:strRef>
          </c:cat>
          <c:val>
            <c:numRef>
              <c:f>statistiques!$C$44:$C$45</c:f>
              <c:numCache>
                <c:formatCode>General</c:formatCode>
                <c:ptCount val="2"/>
                <c:pt idx="0">
                  <c:v>73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79A-B57C-0CE08B29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PL/CATEGORIE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4-49A1-870D-FF88F2D4F8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4-49A1-870D-FF88F2D4F8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14-49A1-870D-FF88F2D4F8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14-49A1-870D-FF88F2D4F8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3A-41F8-9A24-09C1CEEFDD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850-BBF5-A3DE889E10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0F-4DA5-9302-20133BE745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80F-4DA5-9302-20133BE74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statistiques!$C$70:$C$77</c:f>
              <c:strCache>
                <c:ptCount val="8"/>
                <c:pt idx="1">
                  <c:v>CADRE /ING </c:v>
                </c:pt>
                <c:pt idx="2">
                  <c:v>CADRE / MAITRISARD</c:v>
                </c:pt>
                <c:pt idx="3">
                  <c:v>MASTER</c:v>
                </c:pt>
                <c:pt idx="4">
                  <c:v>LICENCE/TECH SUP</c:v>
                </c:pt>
                <c:pt idx="5">
                  <c:v>BAC ET + </c:v>
                </c:pt>
                <c:pt idx="6">
                  <c:v>EXECUTION NIVEAU PRIMAIRE</c:v>
                </c:pt>
                <c:pt idx="7">
                  <c:v>EXECUTION</c:v>
                </c:pt>
              </c:strCache>
            </c:strRef>
          </c:cat>
          <c:val>
            <c:numRef>
              <c:f>statistiques!$D$70:$D$77</c:f>
              <c:numCache>
                <c:formatCode>General</c:formatCode>
                <c:ptCount val="8"/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23</c:v>
                </c:pt>
                <c:pt idx="5">
                  <c:v>25</c:v>
                </c:pt>
                <c:pt idx="6">
                  <c:v>11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5-49BF-80CF-E0BA4815469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14-49A1-870D-FF88F2D4F8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14-49A1-870D-FF88F2D4F8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E14-49A1-870D-FF88F2D4F8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14-49A1-870D-FF88F2D4F8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3A-41F8-9A24-09C1CEEFDD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C90-4850-BBF5-A3DE889E10F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80F-4DA5-9302-20133BE745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80F-4DA5-9302-20133BE745D1}"/>
              </c:ext>
            </c:extLst>
          </c:dPt>
          <c:cat>
            <c:strRef>
              <c:f>statistiques!$C$70:$C$77</c:f>
              <c:strCache>
                <c:ptCount val="8"/>
                <c:pt idx="1">
                  <c:v>CADRE /ING </c:v>
                </c:pt>
                <c:pt idx="2">
                  <c:v>CADRE / MAITRISARD</c:v>
                </c:pt>
                <c:pt idx="3">
                  <c:v>MASTER</c:v>
                </c:pt>
                <c:pt idx="4">
                  <c:v>LICENCE/TECH SUP</c:v>
                </c:pt>
                <c:pt idx="5">
                  <c:v>BAC ET + </c:v>
                </c:pt>
                <c:pt idx="6">
                  <c:v>EXECUTION NIVEAU PRIMAIRE</c:v>
                </c:pt>
                <c:pt idx="7">
                  <c:v>EXECUTION</c:v>
                </c:pt>
              </c:strCache>
            </c:strRef>
          </c:cat>
          <c:val>
            <c:numRef>
              <c:f>statistiques!$E$70:$E$77</c:f>
              <c:numCache>
                <c:formatCode>0.00%</c:formatCode>
                <c:ptCount val="8"/>
                <c:pt idx="1">
                  <c:v>7.0707070707070704E-2</c:v>
                </c:pt>
                <c:pt idx="2">
                  <c:v>6.0606060606060608E-2</c:v>
                </c:pt>
                <c:pt idx="3">
                  <c:v>6.0606060606060608E-2</c:v>
                </c:pt>
                <c:pt idx="4">
                  <c:v>0.23232323232323232</c:v>
                </c:pt>
                <c:pt idx="5">
                  <c:v>0.25252525252525254</c:v>
                </c:pt>
                <c:pt idx="6">
                  <c:v>0.1111111111111111</c:v>
                </c:pt>
                <c:pt idx="7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5-49BF-80CF-E0BA48154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PL/TYPE</a:t>
            </a:r>
            <a:r>
              <a:rPr lang="fr-FR" baseline="0"/>
              <a:t> DE CONTRAT</a:t>
            </a:r>
            <a:endParaRPr lang="fr-FR"/>
          </a:p>
        </c:rich>
      </c:tx>
      <c:layout>
        <c:manualLayout>
          <c:xMode val="edge"/>
          <c:yMode val="edge"/>
          <c:x val="0.368173447069116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D2-4C62-92AC-AFEE1CC86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D2-4C62-92AC-AFEE1CC866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statistiques!$D$140:$D$141</c:f>
              <c:numCache>
                <c:formatCode>0.00%</c:formatCode>
                <c:ptCount val="2"/>
                <c:pt idx="0">
                  <c:v>0.17894736842105263</c:v>
                </c:pt>
                <c:pt idx="1">
                  <c:v>0.82105263157894737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C-4AE0-BD86-01A394A620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39-4571-9E35-7DA5E8C93E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39-4571-9E35-7DA5E8C93E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39-4571-9E35-7DA5E8C93E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39-4571-9E35-7DA5E8C93E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39-4571-9E35-7DA5E8C93E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39-4571-9E35-7DA5E8C93E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39-4571-9E35-7DA5E8C93E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39-4571-9E35-7DA5E8C93E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39-4571-9E35-7DA5E8C93E0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39-4571-9E35-7DA5E8C93E0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39-4571-9E35-7DA5E8C93E0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39-4571-9E35-7DA5E8C93E0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39-4571-9E35-7DA5E8C93E0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39-4571-9E35-7DA5E8C93E0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ED1-4DEC-8DA8-3018888CAB0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ED1-4DEC-8DA8-3018888CAB0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ED1-4DEC-8DA8-3018888CAB0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ED1-4DEC-8DA8-3018888CAB0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2E5-4279-A865-6A95D05D761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2E5-4279-A865-6A95D05D761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2E5-4279-A865-6A95D05D7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statistiques!$B$150:$B$170</c:f>
              <c:strCache>
                <c:ptCount val="21"/>
                <c:pt idx="0">
                  <c:v>ADMINISTRATION</c:v>
                </c:pt>
                <c:pt idx="1">
                  <c:v>COMMERCIAL+ACHAT</c:v>
                </c:pt>
                <c:pt idx="3">
                  <c:v>F.MENAGE</c:v>
                </c:pt>
                <c:pt idx="4">
                  <c:v>GARDIEN</c:v>
                </c:pt>
                <c:pt idx="5">
                  <c:v>JARDINIER</c:v>
                </c:pt>
                <c:pt idx="6">
                  <c:v>CHAUFFEUR</c:v>
                </c:pt>
                <c:pt idx="7">
                  <c:v>CHEF</c:v>
                </c:pt>
                <c:pt idx="8">
                  <c:v>CMS MANUEL</c:v>
                </c:pt>
                <c:pt idx="9">
                  <c:v>CMS ROBOT</c:v>
                </c:pt>
                <c:pt idx="10">
                  <c:v>INTEGRATION</c:v>
                </c:pt>
                <c:pt idx="11">
                  <c:v>MAGASIN EXP</c:v>
                </c:pt>
                <c:pt idx="12">
                  <c:v>RESP MAG +OPER,MAGASIN IMP/EXP</c:v>
                </c:pt>
                <c:pt idx="13">
                  <c:v>FORMATION</c:v>
                </c:pt>
                <c:pt idx="14">
                  <c:v>INDUS</c:v>
                </c:pt>
                <c:pt idx="15">
                  <c:v>MAINTENANCE+REPARATION</c:v>
                </c:pt>
                <c:pt idx="16">
                  <c:v>QUALITE</c:v>
                </c:pt>
                <c:pt idx="17">
                  <c:v>VAGUE TRADE</c:v>
                </c:pt>
                <c:pt idx="18">
                  <c:v>TEST</c:v>
                </c:pt>
                <c:pt idx="19">
                  <c:v>TEST AOI</c:v>
                </c:pt>
                <c:pt idx="20">
                  <c:v>RESP ET ASST PROD +CALC RDT</c:v>
                </c:pt>
              </c:strCache>
            </c:strRef>
          </c:cat>
          <c:val>
            <c:numRef>
              <c:f>statistiques!$C$150:$C$170</c:f>
              <c:numCache>
                <c:formatCode>General</c:formatCode>
                <c:ptCount val="21"/>
                <c:pt idx="0">
                  <c:v>6</c:v>
                </c:pt>
                <c:pt idx="1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20</c:v>
                </c:pt>
                <c:pt idx="9">
                  <c:v>11</c:v>
                </c:pt>
                <c:pt idx="10">
                  <c:v>6</c:v>
                </c:pt>
                <c:pt idx="11">
                  <c:v>2</c:v>
                </c:pt>
                <c:pt idx="12">
                  <c:v>5</c:v>
                </c:pt>
                <c:pt idx="13">
                  <c:v>0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2-43DF-B614-FD024348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DIRECTE/INDIRECT</a:t>
            </a:r>
            <a:r>
              <a:rPr lang="fr-FR" baseline="0"/>
              <a:t> DE PRODUCTION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07-4A41-8C94-2561598A56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07-4A41-8C94-2561598A56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07-4A41-8C94-2561598A56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statistiques!$B$177:$B$179</c:f>
              <c:strCache>
                <c:ptCount val="3"/>
                <c:pt idx="0">
                  <c:v>DIR</c:v>
                </c:pt>
                <c:pt idx="1">
                  <c:v>IND.PROD</c:v>
                </c:pt>
                <c:pt idx="2">
                  <c:v>IND.ADM</c:v>
                </c:pt>
              </c:strCache>
            </c:strRef>
          </c:cat>
          <c:val>
            <c:numRef>
              <c:f>statistiques!$C$177:$C$179</c:f>
              <c:numCache>
                <c:formatCode>General</c:formatCode>
                <c:ptCount val="3"/>
                <c:pt idx="0">
                  <c:v>58</c:v>
                </c:pt>
                <c:pt idx="1">
                  <c:v>20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B-4995-BC77-1DD1FE666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VENTILATION/CATEGORIE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A-4CB3-91C2-09C3D5798D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A-4CB3-91C2-09C3D5798D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DA-4CB3-91C2-09C3D5798D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DA-4CB3-91C2-09C3D5798D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60-4DB0-B749-BC9433FF26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statistiques!$B$191:$B$195</c:f>
              <c:strCache>
                <c:ptCount val="5"/>
                <c:pt idx="0">
                  <c:v>APPRENTIS</c:v>
                </c:pt>
                <c:pt idx="1">
                  <c:v>CIVP</c:v>
                </c:pt>
                <c:pt idx="2">
                  <c:v>CAIP</c:v>
                </c:pt>
                <c:pt idx="3">
                  <c:v>AVTG.CDD/CNSS</c:v>
                </c:pt>
                <c:pt idx="4">
                  <c:v>TX COMPLET</c:v>
                </c:pt>
              </c:strCache>
            </c:strRef>
          </c:cat>
          <c:val>
            <c:numRef>
              <c:f>statistiques!$C$191:$C$195</c:f>
              <c:numCache>
                <c:formatCode>General</c:formatCode>
                <c:ptCount val="5"/>
                <c:pt idx="1">
                  <c:v>16</c:v>
                </c:pt>
                <c:pt idx="2">
                  <c:v>1</c:v>
                </c:pt>
                <c:pt idx="3">
                  <c:v>1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6-47F4-A097-C24D198BDEA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DA-4CB3-91C2-09C3D5798D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DA-4CB3-91C2-09C3D5798D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DA-4CB3-91C2-09C3D5798D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6DA-4CB3-91C2-09C3D5798D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60-4DB0-B749-BC9433FF26FF}"/>
              </c:ext>
            </c:extLst>
          </c:dPt>
          <c:cat>
            <c:strRef>
              <c:f>statistiques!$B$191:$B$195</c:f>
              <c:strCache>
                <c:ptCount val="5"/>
                <c:pt idx="0">
                  <c:v>APPRENTIS</c:v>
                </c:pt>
                <c:pt idx="1">
                  <c:v>CIVP</c:v>
                </c:pt>
                <c:pt idx="2">
                  <c:v>CAIP</c:v>
                </c:pt>
                <c:pt idx="3">
                  <c:v>AVTG.CDD/CNSS</c:v>
                </c:pt>
                <c:pt idx="4">
                  <c:v>TX COMPLET</c:v>
                </c:pt>
              </c:strCache>
            </c:strRef>
          </c:cat>
          <c:val>
            <c:numRef>
              <c:f>statistiques!$D$191:$D$195</c:f>
              <c:numCache>
                <c:formatCode>0.00%</c:formatCode>
                <c:ptCount val="5"/>
                <c:pt idx="0">
                  <c:v>0</c:v>
                </c:pt>
                <c:pt idx="1">
                  <c:v>0.16161616161616163</c:v>
                </c:pt>
                <c:pt idx="2">
                  <c:v>1.0101010101010102E-2</c:v>
                </c:pt>
                <c:pt idx="3">
                  <c:v>1.0101010101010102E-2</c:v>
                </c:pt>
                <c:pt idx="4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6-47F4-A097-C24D198BD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PL/SEXE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078682724342E-2"/>
          <c:y val="0.18894522363285224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2A-4C48-843C-49414CEA13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2A-4C48-843C-49414CEA1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statistiques!$B$44:$B$45</c:f>
              <c:strCache>
                <c:ptCount val="2"/>
                <c:pt idx="0">
                  <c:v>FEMININ</c:v>
                </c:pt>
                <c:pt idx="1">
                  <c:v>MASCULIN</c:v>
                </c:pt>
              </c:strCache>
            </c:strRef>
          </c:cat>
          <c:val>
            <c:numRef>
              <c:f>statistiques!$D$44:$D$45</c:f>
              <c:numCache>
                <c:formatCode>0.00%</c:formatCode>
                <c:ptCount val="2"/>
                <c:pt idx="0">
                  <c:v>0.73737373737373735</c:v>
                </c:pt>
                <c:pt idx="1">
                  <c:v>0.26262626262626265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C-424B-B08F-22496E30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PL/CATEGORIE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1E-4D6C-9FC1-940D3F2B9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1E-4D6C-9FC1-940D3F2B9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1E-4D6C-9FC1-940D3F2B91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1E-4D6C-9FC1-940D3F2B91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0F-42D5-927F-1C05E55A9A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6E8-4D3B-985E-C32550EB84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C59-408E-B197-B4E63F8D62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C59-408E-B197-B4E63F8D6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statistiques!$C$70:$C$77</c:f>
              <c:strCache>
                <c:ptCount val="8"/>
                <c:pt idx="1">
                  <c:v>CADRE /ING </c:v>
                </c:pt>
                <c:pt idx="2">
                  <c:v>CADRE / MAITRISARD</c:v>
                </c:pt>
                <c:pt idx="3">
                  <c:v>MASTER</c:v>
                </c:pt>
                <c:pt idx="4">
                  <c:v>LICENCE/TECH SUP</c:v>
                </c:pt>
                <c:pt idx="5">
                  <c:v>BAC ET + </c:v>
                </c:pt>
                <c:pt idx="6">
                  <c:v>EXECUTION NIVEAU PRIMAIRE</c:v>
                </c:pt>
                <c:pt idx="7">
                  <c:v>EXECUTION</c:v>
                </c:pt>
              </c:strCache>
            </c:strRef>
          </c:cat>
          <c:val>
            <c:numRef>
              <c:f>statistiques!$E$70:$E$77</c:f>
              <c:numCache>
                <c:formatCode>0.00%</c:formatCode>
                <c:ptCount val="8"/>
                <c:pt idx="1">
                  <c:v>7.0707070707070704E-2</c:v>
                </c:pt>
                <c:pt idx="2">
                  <c:v>6.0606060606060608E-2</c:v>
                </c:pt>
                <c:pt idx="3">
                  <c:v>6.0606060606060608E-2</c:v>
                </c:pt>
                <c:pt idx="4">
                  <c:v>0.23232323232323232</c:v>
                </c:pt>
                <c:pt idx="5">
                  <c:v>0.25252525252525254</c:v>
                </c:pt>
                <c:pt idx="6">
                  <c:v>0.1111111111111111</c:v>
                </c:pt>
                <c:pt idx="7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4C18-9246-E9C389A57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3004629629629633"/>
          <c:w val="1"/>
          <c:h val="0.5458774424030329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93E-4F22-81C2-1593CF64FC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93E-4F22-81C2-1593CF64F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93E-4F22-81C2-1593CF64FC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93E-4F22-81C2-1593CF64FC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93E-4F22-81C2-1593CF64FC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93E-4F22-81C2-1593CF64FC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93E-4F22-81C2-1593CF64FC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93E-4F22-81C2-1593CF64FC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93E-4F22-81C2-1593CF64FCD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93E-4F22-81C2-1593CF64FCD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93E-4F22-81C2-1593CF64FCD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93E-4F22-81C2-1593CF64FCD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93E-4F22-81C2-1593CF64FCD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9DC-4E2F-9016-44109C3CE59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291-452B-B05F-E0E27DD068B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291-452B-B05F-E0E27DD068B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291-452B-B05F-E0E27DD068B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291-452B-B05F-E0E27DD068B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A7E0-464B-9544-0666238FB64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A7E0-464B-9544-0666238FB64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A7E0-464B-9544-0666238FB6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statistiques!$B$150:$B$170</c:f>
              <c:strCache>
                <c:ptCount val="21"/>
                <c:pt idx="0">
                  <c:v>ADMINISTRATION</c:v>
                </c:pt>
                <c:pt idx="1">
                  <c:v>COMMERCIAL+ACHAT</c:v>
                </c:pt>
                <c:pt idx="3">
                  <c:v>F.MENAGE</c:v>
                </c:pt>
                <c:pt idx="4">
                  <c:v>GARDIEN</c:v>
                </c:pt>
                <c:pt idx="5">
                  <c:v>JARDINIER</c:v>
                </c:pt>
                <c:pt idx="6">
                  <c:v>CHAUFFEUR</c:v>
                </c:pt>
                <c:pt idx="7">
                  <c:v>CHEF</c:v>
                </c:pt>
                <c:pt idx="8">
                  <c:v>CMS MANUEL</c:v>
                </c:pt>
                <c:pt idx="9">
                  <c:v>CMS ROBOT</c:v>
                </c:pt>
                <c:pt idx="10">
                  <c:v>INTEGRATION</c:v>
                </c:pt>
                <c:pt idx="11">
                  <c:v>MAGASIN EXP</c:v>
                </c:pt>
                <c:pt idx="12">
                  <c:v>RESP MAG +OPER,MAGASIN IMP/EXP</c:v>
                </c:pt>
                <c:pt idx="13">
                  <c:v>FORMATION</c:v>
                </c:pt>
                <c:pt idx="14">
                  <c:v>INDUS</c:v>
                </c:pt>
                <c:pt idx="15">
                  <c:v>MAINTENANCE+REPARATION</c:v>
                </c:pt>
                <c:pt idx="16">
                  <c:v>QUALITE</c:v>
                </c:pt>
                <c:pt idx="17">
                  <c:v>VAGUE TRADE</c:v>
                </c:pt>
                <c:pt idx="18">
                  <c:v>TEST</c:v>
                </c:pt>
                <c:pt idx="19">
                  <c:v>TEST AOI</c:v>
                </c:pt>
                <c:pt idx="20">
                  <c:v>RESP ET ASST PROD +CALC RDT</c:v>
                </c:pt>
              </c:strCache>
            </c:strRef>
          </c:cat>
          <c:val>
            <c:numRef>
              <c:f>statistiques!$D$150:$D$170</c:f>
              <c:numCache>
                <c:formatCode>0.00%</c:formatCode>
                <c:ptCount val="21"/>
                <c:pt idx="0">
                  <c:v>6.0606060606060608E-2</c:v>
                </c:pt>
                <c:pt idx="3">
                  <c:v>3.0303030303030304E-2</c:v>
                </c:pt>
                <c:pt idx="4">
                  <c:v>3.0303030303030304E-2</c:v>
                </c:pt>
                <c:pt idx="5">
                  <c:v>2.0202020202020204E-2</c:v>
                </c:pt>
                <c:pt idx="6">
                  <c:v>1.0101010101010102E-2</c:v>
                </c:pt>
                <c:pt idx="7">
                  <c:v>4.0404040404040407E-2</c:v>
                </c:pt>
                <c:pt idx="8">
                  <c:v>0.20202020202020202</c:v>
                </c:pt>
                <c:pt idx="9">
                  <c:v>0.1111111111111111</c:v>
                </c:pt>
                <c:pt idx="10">
                  <c:v>6.0606060606060608E-2</c:v>
                </c:pt>
                <c:pt idx="11">
                  <c:v>2.0202020202020204E-2</c:v>
                </c:pt>
                <c:pt idx="12">
                  <c:v>5.0505050505050504E-2</c:v>
                </c:pt>
                <c:pt idx="13">
                  <c:v>0</c:v>
                </c:pt>
                <c:pt idx="14">
                  <c:v>3.0303030303030304E-2</c:v>
                </c:pt>
                <c:pt idx="15">
                  <c:v>4.0404040404040407E-2</c:v>
                </c:pt>
                <c:pt idx="16">
                  <c:v>5.0505050505050504E-2</c:v>
                </c:pt>
                <c:pt idx="17">
                  <c:v>4.0404040404040407E-2</c:v>
                </c:pt>
                <c:pt idx="18">
                  <c:v>7.0707070707070704E-2</c:v>
                </c:pt>
                <c:pt idx="20">
                  <c:v>4.0404040404040407E-2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2-4F3E-806D-ABC38B141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 i="0" baseline="0">
                <a:effectLst/>
              </a:rPr>
              <a:t>DIRECTE/INDIRECT DE PRODUCTION</a:t>
            </a:r>
            <a:endParaRPr lang="fr-FR" sz="1200">
              <a:effectLst/>
            </a:endParaRPr>
          </a:p>
        </c:rich>
      </c:tx>
      <c:layout>
        <c:manualLayout>
          <c:xMode val="edge"/>
          <c:yMode val="edge"/>
          <c:x val="7.0178005215015341E-2"/>
          <c:y val="2.9398250225405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016810605937831E-3"/>
          <c:y val="0.18641191269568452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EC-4C00-A203-1E585DB98B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EC-4C00-A203-1E585DB98B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EC-4C00-A203-1E585DB98B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statistiques!$B$177:$B$179</c:f>
              <c:strCache>
                <c:ptCount val="3"/>
                <c:pt idx="0">
                  <c:v>DIR</c:v>
                </c:pt>
                <c:pt idx="1">
                  <c:v>IND.PROD</c:v>
                </c:pt>
                <c:pt idx="2">
                  <c:v>IND.ADM</c:v>
                </c:pt>
              </c:strCache>
            </c:strRef>
          </c:cat>
          <c:val>
            <c:numRef>
              <c:f>statistiques!$D$177:$D$179</c:f>
              <c:numCache>
                <c:formatCode>0.00%</c:formatCode>
                <c:ptCount val="3"/>
                <c:pt idx="0">
                  <c:v>0.58585858585858586</c:v>
                </c:pt>
                <c:pt idx="1">
                  <c:v>0.20202020202020202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1-41B1-93B8-06125FDA6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PL/SITATION SOCIALE DECLAREE</a:t>
            </a:r>
          </a:p>
        </c:rich>
      </c:tx>
      <c:layout>
        <c:manualLayout>
          <c:xMode val="edge"/>
          <c:yMode val="edge"/>
          <c:x val="0.2659444444444444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66666666666664E-2"/>
          <c:y val="0.20412037037037037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2E-4828-B29D-B8E41B4DB9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2E-4828-B29D-B8E41B4DB9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2E-4828-B29D-B8E41B4DB9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2E-4828-B29D-B8E41B4DB9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statistiques!$C$217:$C$220</c:f>
              <c:strCache>
                <c:ptCount val="4"/>
                <c:pt idx="0">
                  <c:v>CELIBATAIRE</c:v>
                </c:pt>
                <c:pt idx="1">
                  <c:v>FIANCE</c:v>
                </c:pt>
                <c:pt idx="2">
                  <c:v>MARIE</c:v>
                </c:pt>
                <c:pt idx="3">
                  <c:v>DIVORCE</c:v>
                </c:pt>
              </c:strCache>
            </c:strRef>
          </c:cat>
          <c:val>
            <c:numRef>
              <c:f>statistiques!$E$217:$E$220</c:f>
              <c:numCache>
                <c:formatCode>0.00%</c:formatCode>
                <c:ptCount val="4"/>
                <c:pt idx="0">
                  <c:v>0.3300970873786408</c:v>
                </c:pt>
                <c:pt idx="1">
                  <c:v>8.7378640776699032E-2</c:v>
                </c:pt>
                <c:pt idx="2">
                  <c:v>0.57281553398058249</c:v>
                </c:pt>
                <c:pt idx="3">
                  <c:v>9.7087378640776691E-3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0-44DF-9AEB-05BD88A38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779335232850018E-2"/>
          <c:y val="0.30006044583219244"/>
          <c:w val="0.93888888888888888"/>
          <c:h val="0.600276684164479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statistiques!$K$3</c:f>
              <c:strCache>
                <c:ptCount val="1"/>
                <c:pt idx="0">
                  <c:v>nbr depart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statistiques!$J$4:$J$15</c:f>
              <c:numCache>
                <c:formatCode>[$-40C]mmm\-yy;@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statistiques!$K$4:$K$15</c:f>
              <c:numCache>
                <c:formatCode>0</c:formatCode>
                <c:ptCount val="12"/>
                <c:pt idx="0" formatCode="General">
                  <c:v>1</c:v>
                </c:pt>
                <c:pt idx="1">
                  <c:v>1</c:v>
                </c:pt>
                <c:pt idx="4" formatCode="General">
                  <c:v>2</c:v>
                </c:pt>
                <c:pt idx="5" formatCode="General">
                  <c:v>1</c:v>
                </c:pt>
                <c:pt idx="6" formatCode="General">
                  <c:v>2</c:v>
                </c:pt>
                <c:pt idx="7" formatCode="General">
                  <c:v>3</c:v>
                </c:pt>
                <c:pt idx="8" formatCode="General">
                  <c:v>2</c:v>
                </c:pt>
                <c:pt idx="9" formatCode="General">
                  <c:v>2</c:v>
                </c:pt>
                <c:pt idx="10" formatCode="General">
                  <c:v>4</c:v>
                </c:pt>
                <c:pt idx="11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B-4189-B10F-25EFDD31EA44}"/>
            </c:ext>
          </c:extLst>
        </c:ser>
        <c:ser>
          <c:idx val="1"/>
          <c:order val="1"/>
          <c:tx>
            <c:strRef>
              <c:f>statistiques!$L$3</c:f>
              <c:strCache>
                <c:ptCount val="1"/>
                <c:pt idx="0">
                  <c:v>retraite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statistiques!$J$4:$J$15</c:f>
              <c:numCache>
                <c:formatCode>[$-40C]mmm\-yy;@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statistiques!$L$4:$L$15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22B-4189-B10F-25EFDD31EA44}"/>
            </c:ext>
          </c:extLst>
        </c:ser>
        <c:ser>
          <c:idx val="2"/>
          <c:order val="2"/>
          <c:tx>
            <c:strRef>
              <c:f>statistiques!$M$3</c:f>
              <c:strCache>
                <c:ptCount val="1"/>
                <c:pt idx="0">
                  <c:v>abandon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statistiques!$J$4:$J$15</c:f>
              <c:numCache>
                <c:formatCode>[$-40C]mmm\-yy;@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statistiques!$M$4:$M$15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4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B-4189-B10F-25EFDD31EA44}"/>
            </c:ext>
          </c:extLst>
        </c:ser>
        <c:ser>
          <c:idx val="3"/>
          <c:order val="3"/>
          <c:tx>
            <c:strRef>
              <c:f>statistiques!$N$3</c:f>
              <c:strCache>
                <c:ptCount val="1"/>
                <c:pt idx="0">
                  <c:v>licenciement/fin contrat/ARRET DE CONTRAT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statistiques!$J$4:$J$15</c:f>
              <c:numCache>
                <c:formatCode>[$-40C]mmm\-yy;@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statistiques!$N$4:$N$15</c:f>
              <c:numCache>
                <c:formatCode>General</c:formatCode>
                <c:ptCount val="12"/>
                <c:pt idx="5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2B-4189-B10F-25EFDD31EA44}"/>
            </c:ext>
          </c:extLst>
        </c:ser>
        <c:ser>
          <c:idx val="4"/>
          <c:order val="4"/>
          <c:tx>
            <c:strRef>
              <c:f>statistiques!$O$3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statistiques!$J$4:$J$15</c:f>
              <c:numCache>
                <c:formatCode>[$-40C]mmm\-yy;@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statistiques!$O$4:$O$15</c:f>
              <c:numCache>
                <c:formatCode>General</c:formatCode>
                <c:ptCount val="12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2B-4189-B10F-25EFDD31EA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43327792"/>
        <c:axId val="343325632"/>
      </c:barChart>
      <c:dateAx>
        <c:axId val="343327792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3325632"/>
        <c:crosses val="autoZero"/>
        <c:auto val="1"/>
        <c:lblOffset val="100"/>
        <c:baseTimeUnit val="months"/>
      </c:dateAx>
      <c:valAx>
        <c:axId val="343325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33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9E-3"/>
          <c:y val="0.17634259259259263"/>
          <c:w val="0.93888888888888888"/>
          <c:h val="0.6714577865266842"/>
        </c:manualLayout>
      </c:layout>
      <c:pie3DChart>
        <c:varyColors val="1"/>
        <c:ser>
          <c:idx val="0"/>
          <c:order val="0"/>
          <c:explosion val="2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203-49AA-880F-2931A8B8C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612-47F0-B70D-4CFCA23126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statistiques!$B$56:$C$57</c:f>
              <c:multiLvlStrCache>
                <c:ptCount val="2"/>
                <c:lvl>
                  <c:pt idx="0">
                    <c:v>61</c:v>
                  </c:pt>
                  <c:pt idx="1">
                    <c:v>38</c:v>
                  </c:pt>
                </c:lvl>
                <c:lvl>
                  <c:pt idx="0">
                    <c:v>MENSUEL</c:v>
                  </c:pt>
                  <c:pt idx="1">
                    <c:v>HORAIRE</c:v>
                  </c:pt>
                </c:lvl>
              </c:multiLvlStrCache>
            </c:multiLvlStrRef>
          </c:cat>
          <c:val>
            <c:numRef>
              <c:f>statistiques!$B$58:$C$58</c:f>
              <c:numCache>
                <c:formatCode>0.00%</c:formatCode>
                <c:ptCount val="2"/>
                <c:pt idx="0">
                  <c:v>0.61616161616161613</c:v>
                </c:pt>
                <c:pt idx="1">
                  <c:v>0.38383838383838381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3-49AA-880F-2931A8B8C1B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E1-457B-8622-47C3589F96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E1-457B-8622-47C3589F96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E1-457B-8622-47C3589F96DA}"/>
              </c:ext>
            </c:extLst>
          </c:dPt>
          <c:cat>
            <c:strRef>
              <c:f>statistiques!$D$125:$D$127</c:f>
              <c:strCache>
                <c:ptCount val="3"/>
                <c:pt idx="0">
                  <c:v>LPE</c:v>
                </c:pt>
                <c:pt idx="1">
                  <c:v>GENERAL INTERIM</c:v>
                </c:pt>
                <c:pt idx="2">
                  <c:v>prestataires</c:v>
                </c:pt>
              </c:strCache>
            </c:strRef>
          </c:cat>
          <c:val>
            <c:numRef>
              <c:f>statistiques!$E$125:$E$127</c:f>
              <c:numCache>
                <c:formatCode>General</c:formatCode>
                <c:ptCount val="3"/>
                <c:pt idx="0" formatCode="0">
                  <c:v>96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B-4E73-A3F1-8B8DDFA53E4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E1-457B-8622-47C3589F96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8E1-457B-8622-47C3589F96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8E1-457B-8622-47C3589F96DA}"/>
              </c:ext>
            </c:extLst>
          </c:dPt>
          <c:cat>
            <c:strRef>
              <c:f>statistiques!$D$125:$D$127</c:f>
              <c:strCache>
                <c:ptCount val="3"/>
                <c:pt idx="0">
                  <c:v>LPE</c:v>
                </c:pt>
                <c:pt idx="1">
                  <c:v>GENERAL INTERIM</c:v>
                </c:pt>
                <c:pt idx="2">
                  <c:v>prestataires</c:v>
                </c:pt>
              </c:strCache>
            </c:strRef>
          </c:cat>
          <c:val>
            <c:numRef>
              <c:f>statistiques!$F$124:$F$126</c:f>
              <c:numCache>
                <c:formatCode>0.00%</c:formatCode>
                <c:ptCount val="3"/>
                <c:pt idx="1">
                  <c:v>0.96969696969696972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B-4E73-A3F1-8B8DDFA53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/>
    <cx:plotArea>
      <cx:plotAreaRegion>
        <cx:series layoutId="clusteredColumn" uniqueId="{1063316B-27AE-4A1D-A4CC-C5D175AE4BBC}">
          <cx:tx>
            <cx:txData>
              <cx:v>AGE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87F43D23-DE3C-4B87-B089-04F63A19324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/>
    <cx:plotArea>
      <cx:plotAreaRegion>
        <cx:series layoutId="clusteredColumn" uniqueId="{93FF7C9C-C9F0-484D-9940-09A48431B805}">
          <cx:tx>
            <cx:txData>
              <cx:v>ANCIENNETE(année)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ACD6EB61-1525-4981-AA4D-F8D286A0B69B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464345</xdr:colOff>
      <xdr:row>20</xdr:row>
      <xdr:rowOff>273843</xdr:rowOff>
    </xdr:from>
    <xdr:to>
      <xdr:col>15</xdr:col>
      <xdr:colOff>440532</xdr:colOff>
      <xdr:row>38</xdr:row>
      <xdr:rowOff>2214562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5574703-32A4-4596-81E2-F60B886C4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377031</xdr:colOff>
      <xdr:row>41</xdr:row>
      <xdr:rowOff>52387</xdr:rowOff>
    </xdr:from>
    <xdr:to>
      <xdr:col>8</xdr:col>
      <xdr:colOff>381001</xdr:colOff>
      <xdr:row>51</xdr:row>
      <xdr:rowOff>85725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50A45B5-64AC-43C6-8963-DF7C8DBF9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580758</xdr:colOff>
      <xdr:row>66</xdr:row>
      <xdr:rowOff>59795</xdr:rowOff>
    </xdr:from>
    <xdr:to>
      <xdr:col>8</xdr:col>
      <xdr:colOff>678655</xdr:colOff>
      <xdr:row>79</xdr:row>
      <xdr:rowOff>107156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73DC4269-58AA-423F-A509-D113AB1D7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726282</xdr:colOff>
      <xdr:row>134</xdr:row>
      <xdr:rowOff>5557</xdr:rowOff>
    </xdr:from>
    <xdr:to>
      <xdr:col>14</xdr:col>
      <xdr:colOff>158221</xdr:colOff>
      <xdr:row>145</xdr:row>
      <xdr:rowOff>128323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B92D91D-4DA9-4E63-9D5E-DF4A5AF38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130969</xdr:colOff>
      <xdr:row>149</xdr:row>
      <xdr:rowOff>35718</xdr:rowOff>
    </xdr:from>
    <xdr:to>
      <xdr:col>10</xdr:col>
      <xdr:colOff>23813</xdr:colOff>
      <xdr:row>169</xdr:row>
      <xdr:rowOff>511967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D503555-6B36-47AF-90C9-FD1FEBC3B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93928</xdr:colOff>
      <xdr:row>173</xdr:row>
      <xdr:rowOff>289986</xdr:rowOff>
    </xdr:from>
    <xdr:to>
      <xdr:col>9</xdr:col>
      <xdr:colOff>404813</xdr:colOff>
      <xdr:row>187</xdr:row>
      <xdr:rowOff>10584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CF884D7-910C-4A65-96F6-67B1FC122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27781</xdr:colOff>
      <xdr:row>188</xdr:row>
      <xdr:rowOff>25135</xdr:rowOff>
    </xdr:from>
    <xdr:to>
      <xdr:col>13</xdr:col>
      <xdr:colOff>599281</xdr:colOff>
      <xdr:row>199</xdr:row>
      <xdr:rowOff>154781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09DA388-E1CD-42B8-96F1-70492C89F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666750</xdr:colOff>
      <xdr:row>41</xdr:row>
      <xdr:rowOff>15478</xdr:rowOff>
    </xdr:from>
    <xdr:to>
      <xdr:col>14</xdr:col>
      <xdr:colOff>654844</xdr:colOff>
      <xdr:row>51</xdr:row>
      <xdr:rowOff>130968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58F7E3-DCEE-45A0-86F4-4E6AAC47F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17859</xdr:colOff>
      <xdr:row>66</xdr:row>
      <xdr:rowOff>98821</xdr:rowOff>
    </xdr:from>
    <xdr:to>
      <xdr:col>14</xdr:col>
      <xdr:colOff>887014</xdr:colOff>
      <xdr:row>79</xdr:row>
      <xdr:rowOff>20240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C7EB35A-812A-43A7-8640-FC48E1224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130969</xdr:colOff>
      <xdr:row>149</xdr:row>
      <xdr:rowOff>59531</xdr:rowOff>
    </xdr:from>
    <xdr:to>
      <xdr:col>15</xdr:col>
      <xdr:colOff>23811</xdr:colOff>
      <xdr:row>169</xdr:row>
      <xdr:rowOff>535780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B4ACA206-A8A5-487D-A500-60D57F434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488156</xdr:colOff>
      <xdr:row>174</xdr:row>
      <xdr:rowOff>23812</xdr:rowOff>
    </xdr:from>
    <xdr:to>
      <xdr:col>14</xdr:col>
      <xdr:colOff>750093</xdr:colOff>
      <xdr:row>187</xdr:row>
      <xdr:rowOff>130968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F3A515CA-739F-4C04-9ACD-29AC25AA1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59531</xdr:colOff>
      <xdr:row>214</xdr:row>
      <xdr:rowOff>130969</xdr:rowOff>
    </xdr:from>
    <xdr:to>
      <xdr:col>14</xdr:col>
      <xdr:colOff>23811</xdr:colOff>
      <xdr:row>225</xdr:row>
      <xdr:rowOff>11906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25691E33-5380-408B-8589-D0909BCCC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23812</xdr:colOff>
      <xdr:row>86</xdr:row>
      <xdr:rowOff>23813</xdr:rowOff>
    </xdr:from>
    <xdr:to>
      <xdr:col>8</xdr:col>
      <xdr:colOff>535781</xdr:colOff>
      <xdr:row>99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aphique 14">
              <a:extLst>
                <a:ext uri="{FF2B5EF4-FFF2-40B4-BE49-F238E27FC236}">
                  <a16:creationId xmlns:a16="http://schemas.microsoft.com/office/drawing/2014/main" id="{E139CB94-D233-4B58-AF2A-235209CA1E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437" y="28827413"/>
              <a:ext cx="4941094" cy="312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95250</xdr:colOff>
      <xdr:row>105</xdr:row>
      <xdr:rowOff>178594</xdr:rowOff>
    </xdr:from>
    <xdr:to>
      <xdr:col>7</xdr:col>
      <xdr:colOff>440531</xdr:colOff>
      <xdr:row>117</xdr:row>
      <xdr:rowOff>64294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4A4B2748-DB84-4621-9BA6-507CBBCDED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5" y="33277969"/>
              <a:ext cx="4145756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244081</xdr:colOff>
      <xdr:row>17</xdr:row>
      <xdr:rowOff>166688</xdr:rowOff>
    </xdr:from>
    <xdr:to>
      <xdr:col>15</xdr:col>
      <xdr:colOff>214312</xdr:colOff>
      <xdr:row>19</xdr:row>
      <xdr:rowOff>4012406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D8F526A0-C0F8-98D2-60EB-AC31F4B6E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541734</xdr:colOff>
      <xdr:row>53</xdr:row>
      <xdr:rowOff>63102</xdr:rowOff>
    </xdr:from>
    <xdr:to>
      <xdr:col>14</xdr:col>
      <xdr:colOff>119062</xdr:colOff>
      <xdr:row>64</xdr:row>
      <xdr:rowOff>59531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32363682-91CD-0C08-9C99-F7F71A27D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458391</xdr:colOff>
      <xdr:row>121</xdr:row>
      <xdr:rowOff>83343</xdr:rowOff>
    </xdr:from>
    <xdr:to>
      <xdr:col>14</xdr:col>
      <xdr:colOff>720328</xdr:colOff>
      <xdr:row>131</xdr:row>
      <xdr:rowOff>142874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F7E3073-0F51-14FC-1064-6D6CD9592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46C4-640B-4E99-AD9E-BE0C8CD3D379}">
  <dimension ref="A1:CA18"/>
  <sheetViews>
    <sheetView tabSelected="1"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Y24" sqref="AY23:AY24"/>
    </sheetView>
  </sheetViews>
  <sheetFormatPr baseColWidth="10" defaultRowHeight="15" x14ac:dyDescent="0.25"/>
  <cols>
    <col min="1" max="1" width="6.140625" customWidth="1"/>
    <col min="2" max="2" width="5.7109375" bestFit="1" customWidth="1"/>
    <col min="3" max="3" width="25.5703125" bestFit="1" customWidth="1"/>
    <col min="4" max="4" width="13.5703125" bestFit="1" customWidth="1"/>
    <col min="5" max="5" width="4.42578125" bestFit="1" customWidth="1"/>
    <col min="6" max="6" width="11.28515625" bestFit="1" customWidth="1"/>
    <col min="7" max="7" width="9.85546875" bestFit="1" customWidth="1"/>
    <col min="8" max="8" width="32" bestFit="1" customWidth="1"/>
    <col min="9" max="9" width="11.5703125" bestFit="1" customWidth="1"/>
    <col min="10" max="10" width="9.85546875" bestFit="1" customWidth="1"/>
    <col min="11" max="11" width="11.5703125" bestFit="1" customWidth="1"/>
    <col min="12" max="12" width="12" bestFit="1" customWidth="1"/>
    <col min="13" max="13" width="40.85546875" bestFit="1" customWidth="1"/>
    <col min="14" max="14" width="13.5703125" bestFit="1" customWidth="1"/>
    <col min="15" max="15" width="17.7109375" bestFit="1" customWidth="1"/>
    <col min="16" max="16" width="10.5703125" bestFit="1" customWidth="1"/>
    <col min="17" max="18" width="11.5703125" bestFit="1" customWidth="1"/>
    <col min="19" max="19" width="11.42578125" bestFit="1" customWidth="1"/>
    <col min="20" max="20" width="11.5703125" bestFit="1" customWidth="1"/>
    <col min="21" max="21" width="11.28515625" bestFit="1" customWidth="1"/>
    <col min="22" max="22" width="10.140625" bestFit="1" customWidth="1"/>
    <col min="24" max="24" width="11.5703125" customWidth="1"/>
    <col min="25" max="26" width="11.5703125" bestFit="1" customWidth="1"/>
    <col min="27" max="27" width="15.5703125" bestFit="1" customWidth="1"/>
    <col min="28" max="29" width="11.5703125" bestFit="1" customWidth="1"/>
    <col min="31" max="31" width="11.5703125" bestFit="1" customWidth="1"/>
    <col min="32" max="32" width="8.85546875" bestFit="1" customWidth="1"/>
    <col min="33" max="33" width="8.140625" customWidth="1"/>
    <col min="34" max="34" width="12.7109375" bestFit="1" customWidth="1"/>
    <col min="35" max="35" width="10.7109375" bestFit="1" customWidth="1"/>
    <col min="36" max="36" width="21.42578125" bestFit="1" customWidth="1"/>
    <col min="37" max="37" width="17.140625" bestFit="1" customWidth="1"/>
    <col min="38" max="38" width="9.85546875" bestFit="1" customWidth="1"/>
    <col min="39" max="41" width="11.5703125" bestFit="1" customWidth="1"/>
    <col min="42" max="42" width="13.85546875" customWidth="1"/>
    <col min="43" max="43" width="12" bestFit="1" customWidth="1"/>
    <col min="44" max="44" width="11.5703125" bestFit="1" customWidth="1"/>
    <col min="45" max="46" width="9.28515625" bestFit="1" customWidth="1"/>
    <col min="47" max="47" width="10.7109375" bestFit="1" customWidth="1"/>
    <col min="48" max="48" width="10.28515625" bestFit="1" customWidth="1"/>
    <col min="49" max="49" width="9.28515625" bestFit="1" customWidth="1"/>
    <col min="50" max="50" width="10.140625" bestFit="1" customWidth="1"/>
    <col min="51" max="51" width="9.28515625" bestFit="1" customWidth="1"/>
    <col min="52" max="52" width="11.140625" bestFit="1" customWidth="1"/>
    <col min="53" max="53" width="13.5703125" bestFit="1" customWidth="1"/>
    <col min="54" max="54" width="10.7109375" bestFit="1" customWidth="1"/>
    <col min="55" max="55" width="13.5703125" bestFit="1" customWidth="1"/>
    <col min="56" max="56" width="16" bestFit="1" customWidth="1"/>
    <col min="57" max="57" width="11" bestFit="1" customWidth="1"/>
    <col min="58" max="58" width="10.28515625" bestFit="1" customWidth="1"/>
    <col min="59" max="59" width="14.5703125" bestFit="1" customWidth="1"/>
    <col min="60" max="60" width="23.140625" bestFit="1" customWidth="1"/>
    <col min="61" max="61" width="10.5703125" bestFit="1" customWidth="1"/>
    <col min="62" max="62" width="25.5703125" bestFit="1" customWidth="1"/>
    <col min="63" max="63" width="23" bestFit="1" customWidth="1"/>
    <col min="64" max="64" width="16.140625" style="15" customWidth="1"/>
    <col min="65" max="65" width="43.42578125" customWidth="1"/>
    <col min="66" max="66" width="21.28515625" customWidth="1"/>
    <col min="67" max="67" width="28.85546875" style="108" bestFit="1" customWidth="1"/>
    <col min="68" max="68" width="20.28515625" style="108" customWidth="1"/>
    <col min="75" max="75" width="30.42578125" customWidth="1"/>
  </cols>
  <sheetData>
    <row r="1" spans="1:79" ht="15.75" x14ac:dyDescent="0.25">
      <c r="B1" s="3"/>
      <c r="C1" s="4"/>
      <c r="D1" s="5">
        <f ca="1">TODAY()</f>
        <v>46118</v>
      </c>
      <c r="E1" s="14"/>
      <c r="G1" s="21"/>
      <c r="Q1" s="28"/>
      <c r="R1" s="28"/>
      <c r="S1" s="29"/>
      <c r="AC1" s="22"/>
      <c r="AH1" s="22"/>
      <c r="AR1" s="35"/>
      <c r="AS1" s="35"/>
      <c r="AT1" s="36"/>
      <c r="AU1" s="35"/>
      <c r="AV1" s="35"/>
      <c r="AW1" s="35"/>
      <c r="AX1" s="35"/>
      <c r="AY1" s="35"/>
      <c r="AZ1" s="35"/>
      <c r="BA1" s="35"/>
      <c r="BB1" s="35" t="s">
        <v>69</v>
      </c>
      <c r="BC1" s="38">
        <v>0.16070000000000001</v>
      </c>
      <c r="BD1" s="38">
        <v>0.16569999999999999</v>
      </c>
      <c r="BE1" s="38">
        <f>+BC1-BD1</f>
        <v>-4.9999999999999767E-3</v>
      </c>
      <c r="BF1" s="35"/>
      <c r="BG1" s="37"/>
      <c r="BH1" s="37"/>
      <c r="BI1" s="37"/>
      <c r="BJ1" s="37"/>
      <c r="BK1" s="37"/>
      <c r="BL1" s="37"/>
      <c r="BM1" s="7"/>
      <c r="BN1" s="16" t="s">
        <v>185</v>
      </c>
      <c r="BO1" s="6">
        <v>11.571</v>
      </c>
      <c r="BP1" s="99">
        <f>+BO1*1.075</f>
        <v>12.438825</v>
      </c>
      <c r="BQ1" s="100">
        <f>+BP1-BO1</f>
        <v>0.86782499999999985</v>
      </c>
      <c r="BT1" s="22" t="s">
        <v>257</v>
      </c>
      <c r="BU1" s="114" t="s">
        <v>258</v>
      </c>
      <c r="BV1" s="98"/>
      <c r="BW1" s="98"/>
      <c r="BX1" s="98"/>
    </row>
    <row r="2" spans="1:79" ht="15.75" x14ac:dyDescent="0.25">
      <c r="B2" s="3"/>
      <c r="E2" s="15"/>
      <c r="G2" s="21"/>
      <c r="Q2" s="28"/>
      <c r="R2" s="28"/>
      <c r="S2" s="29"/>
      <c r="AC2" s="22"/>
      <c r="AH2" s="22"/>
      <c r="AR2" s="35"/>
      <c r="AS2" s="35"/>
      <c r="AT2" s="36"/>
      <c r="AU2" s="35"/>
      <c r="AV2" s="35"/>
      <c r="AW2" s="35"/>
      <c r="AX2" s="35"/>
      <c r="AY2" s="35"/>
      <c r="AZ2" s="35"/>
      <c r="BA2" s="35"/>
      <c r="BB2" s="35"/>
      <c r="BC2" s="39"/>
      <c r="BD2" s="39"/>
      <c r="BE2" s="38"/>
      <c r="BF2" s="35"/>
      <c r="BG2" s="37"/>
      <c r="BH2" s="37"/>
      <c r="BI2" s="37"/>
      <c r="BJ2" s="37"/>
      <c r="BK2" s="37"/>
      <c r="BL2" s="37"/>
      <c r="BM2" s="7"/>
      <c r="BN2" s="16"/>
      <c r="BO2" s="6"/>
      <c r="BP2" s="99"/>
      <c r="BQ2" s="26"/>
      <c r="BT2" s="110">
        <v>7.0000000000000007E-2</v>
      </c>
      <c r="BU2" s="113"/>
    </row>
    <row r="3" spans="1:79" s="54" customFormat="1" ht="49.5" customHeight="1" x14ac:dyDescent="0.25">
      <c r="A3" s="34" t="s">
        <v>5</v>
      </c>
      <c r="B3" s="56" t="s">
        <v>77</v>
      </c>
      <c r="C3" s="34" t="s">
        <v>0</v>
      </c>
      <c r="D3" s="34" t="s">
        <v>1</v>
      </c>
      <c r="E3" s="57" t="s">
        <v>60</v>
      </c>
      <c r="F3" s="34" t="s">
        <v>2</v>
      </c>
      <c r="G3" s="58" t="s">
        <v>142</v>
      </c>
      <c r="H3" s="34" t="s">
        <v>24</v>
      </c>
      <c r="I3" s="34" t="s">
        <v>3</v>
      </c>
      <c r="J3" s="34" t="s">
        <v>28</v>
      </c>
      <c r="K3" s="34" t="s">
        <v>29</v>
      </c>
      <c r="L3" s="34" t="s">
        <v>30</v>
      </c>
      <c r="M3" s="34" t="s">
        <v>17</v>
      </c>
      <c r="N3" s="34" t="s">
        <v>21</v>
      </c>
      <c r="O3" s="34" t="s">
        <v>14</v>
      </c>
      <c r="P3" s="34" t="s">
        <v>15</v>
      </c>
      <c r="Q3" s="59" t="s">
        <v>85</v>
      </c>
      <c r="R3" s="59" t="s">
        <v>86</v>
      </c>
      <c r="S3" s="33" t="s">
        <v>87</v>
      </c>
      <c r="T3" s="34" t="s">
        <v>92</v>
      </c>
      <c r="U3" s="34" t="s">
        <v>27</v>
      </c>
      <c r="V3" s="34" t="s">
        <v>6</v>
      </c>
      <c r="W3" s="34" t="s">
        <v>22</v>
      </c>
      <c r="X3" s="34" t="s">
        <v>78</v>
      </c>
      <c r="Y3" s="34" t="s">
        <v>7</v>
      </c>
      <c r="Z3" s="34" t="s">
        <v>128</v>
      </c>
      <c r="AA3" s="34" t="s">
        <v>8</v>
      </c>
      <c r="AB3" s="34" t="s">
        <v>39</v>
      </c>
      <c r="AC3" s="58" t="s">
        <v>40</v>
      </c>
      <c r="AD3" s="34" t="s">
        <v>9</v>
      </c>
      <c r="AE3" s="34" t="s">
        <v>12</v>
      </c>
      <c r="AF3" s="34" t="s">
        <v>10</v>
      </c>
      <c r="AG3" s="34" t="s">
        <v>11</v>
      </c>
      <c r="AH3" s="58" t="s">
        <v>36</v>
      </c>
      <c r="AI3" s="34" t="s">
        <v>13</v>
      </c>
      <c r="AJ3" s="34" t="s">
        <v>152</v>
      </c>
      <c r="AK3" s="34" t="s">
        <v>277</v>
      </c>
      <c r="AL3" s="34" t="s">
        <v>16</v>
      </c>
      <c r="AM3" s="34" t="s">
        <v>94</v>
      </c>
      <c r="AN3" s="34" t="s">
        <v>31</v>
      </c>
      <c r="AO3" s="34" t="s">
        <v>32</v>
      </c>
      <c r="AP3" s="34" t="s">
        <v>33</v>
      </c>
      <c r="AQ3" s="58" t="s">
        <v>34</v>
      </c>
      <c r="AR3" s="34" t="s">
        <v>35</v>
      </c>
      <c r="AS3" s="34" t="s">
        <v>143</v>
      </c>
      <c r="AT3" s="19" t="s">
        <v>45</v>
      </c>
      <c r="AU3" s="34" t="s">
        <v>42</v>
      </c>
      <c r="AV3" s="34" t="s">
        <v>75</v>
      </c>
      <c r="AW3" s="34" t="s">
        <v>18</v>
      </c>
      <c r="AX3" s="34" t="s">
        <v>183</v>
      </c>
      <c r="AY3" s="106" t="s">
        <v>186</v>
      </c>
      <c r="AZ3" s="106" t="s">
        <v>184</v>
      </c>
      <c r="BA3" s="34" t="s">
        <v>187</v>
      </c>
      <c r="BB3" s="34" t="s">
        <v>19</v>
      </c>
      <c r="BC3" s="34" t="s">
        <v>20</v>
      </c>
      <c r="BD3" s="34" t="s">
        <v>83</v>
      </c>
      <c r="BE3" s="34" t="s">
        <v>96</v>
      </c>
      <c r="BF3" s="34" t="s">
        <v>76</v>
      </c>
      <c r="BG3" s="48" t="s">
        <v>59</v>
      </c>
      <c r="BH3" s="52" t="s">
        <v>299</v>
      </c>
      <c r="BI3" s="34" t="s">
        <v>97</v>
      </c>
      <c r="BJ3" s="34" t="s">
        <v>99</v>
      </c>
      <c r="BK3" s="34" t="s">
        <v>98</v>
      </c>
      <c r="BL3" s="34" t="s">
        <v>197</v>
      </c>
      <c r="BM3" s="51" t="s">
        <v>288</v>
      </c>
      <c r="BN3" s="52" t="s">
        <v>44</v>
      </c>
      <c r="BO3" s="52" t="s">
        <v>46</v>
      </c>
      <c r="BP3" s="53" t="s">
        <v>303</v>
      </c>
      <c r="BQ3" s="34" t="s">
        <v>89</v>
      </c>
      <c r="BR3" s="34" t="s">
        <v>220</v>
      </c>
      <c r="BT3" s="111" t="s">
        <v>255</v>
      </c>
      <c r="BU3" s="115" t="s">
        <v>256</v>
      </c>
      <c r="BV3" s="54" t="s">
        <v>276</v>
      </c>
    </row>
    <row r="4" spans="1:79" s="30" customFormat="1" ht="75" x14ac:dyDescent="0.25">
      <c r="A4" s="8">
        <v>1</v>
      </c>
      <c r="B4" s="94">
        <v>638</v>
      </c>
      <c r="C4" s="76" t="s">
        <v>297</v>
      </c>
      <c r="D4" s="76" t="s">
        <v>298</v>
      </c>
      <c r="E4" s="75" t="s">
        <v>70</v>
      </c>
      <c r="F4" s="76"/>
      <c r="G4" s="31" t="s">
        <v>47</v>
      </c>
      <c r="H4" s="76" t="s">
        <v>129</v>
      </c>
      <c r="I4" s="76" t="s">
        <v>129</v>
      </c>
      <c r="J4" s="78"/>
      <c r="K4" s="79">
        <v>45770</v>
      </c>
      <c r="L4" s="78"/>
      <c r="M4" s="80" t="s">
        <v>196</v>
      </c>
      <c r="N4" s="81" t="s">
        <v>129</v>
      </c>
      <c r="O4" s="81" t="s">
        <v>129</v>
      </c>
      <c r="P4" s="11" t="s">
        <v>145</v>
      </c>
      <c r="Q4" s="82">
        <v>45176</v>
      </c>
      <c r="R4" s="83"/>
      <c r="S4" s="95">
        <v>45176</v>
      </c>
      <c r="T4" s="74">
        <v>31314</v>
      </c>
      <c r="U4" s="55" t="s">
        <v>204</v>
      </c>
      <c r="V4" s="84">
        <f ca="1">(($D$1-T4)/365)</f>
        <v>40.558904109589044</v>
      </c>
      <c r="W4" s="84">
        <f ca="1">(($D$1-S4)/365)</f>
        <v>2.580821917808219</v>
      </c>
      <c r="X4" s="84" t="s">
        <v>79</v>
      </c>
      <c r="Y4" s="55" t="s">
        <v>51</v>
      </c>
      <c r="Z4" s="85"/>
      <c r="AA4" s="74">
        <v>45176</v>
      </c>
      <c r="AB4" s="12">
        <f>+AA4+365*4</f>
        <v>46636</v>
      </c>
      <c r="AC4" s="86" t="s">
        <v>47</v>
      </c>
      <c r="AD4" s="55"/>
      <c r="AE4" s="74">
        <v>45176</v>
      </c>
      <c r="AF4" s="55" t="s">
        <v>49</v>
      </c>
      <c r="AG4" s="55">
        <v>2</v>
      </c>
      <c r="AH4" s="87" t="s">
        <v>150</v>
      </c>
      <c r="AI4" s="55" t="s">
        <v>26</v>
      </c>
      <c r="AJ4" s="55" t="s">
        <v>26</v>
      </c>
      <c r="AK4" s="55" t="s">
        <v>102</v>
      </c>
      <c r="AL4" s="55">
        <v>12358468</v>
      </c>
      <c r="AM4" s="55" t="s">
        <v>289</v>
      </c>
      <c r="AN4" s="55" t="s">
        <v>72</v>
      </c>
      <c r="AO4" s="55">
        <v>1</v>
      </c>
      <c r="AP4" s="74">
        <v>45176</v>
      </c>
      <c r="AQ4" s="86">
        <v>45901</v>
      </c>
      <c r="AR4" s="12">
        <v>45658</v>
      </c>
      <c r="AS4" s="55" t="s">
        <v>249</v>
      </c>
      <c r="AT4" s="17" t="s">
        <v>195</v>
      </c>
      <c r="AU4" s="88">
        <v>638</v>
      </c>
      <c r="AV4" s="88">
        <f>1.06*3.694</f>
        <v>3.9156400000000002</v>
      </c>
      <c r="AW4" s="88">
        <f>+AV4*173.33</f>
        <v>678.6978812000001</v>
      </c>
      <c r="AX4" s="24">
        <v>6.6</v>
      </c>
      <c r="AY4" s="107">
        <v>14.042999999999999</v>
      </c>
      <c r="AZ4" s="107">
        <v>75.786000000000001</v>
      </c>
      <c r="BA4" s="88">
        <v>300</v>
      </c>
      <c r="BB4" s="24">
        <f>SUM(AW4:BA4)</f>
        <v>1075.1268812000001</v>
      </c>
      <c r="BC4" s="24">
        <f>+BB4*($BD$1)</f>
        <v>178.14852421483999</v>
      </c>
      <c r="BD4" s="88"/>
      <c r="BE4" s="146">
        <f t="shared" ref="BE4:BE13" si="0">+BC4+BB4+BD4</f>
        <v>1253.27540541484</v>
      </c>
      <c r="BF4" s="146">
        <f t="shared" ref="BF4:BF13" si="1">+BE4/173.33</f>
        <v>7.2305740807410137</v>
      </c>
      <c r="BG4" s="96"/>
      <c r="BH4" s="90"/>
      <c r="BI4" s="91">
        <f t="shared" ref="BI4:BI13" si="2">+(BE4)*13</f>
        <v>16292.580270392918</v>
      </c>
      <c r="BJ4" s="91">
        <f t="shared" ref="BJ4:BJ13" si="3">+BI4/12</f>
        <v>1357.7150225327432</v>
      </c>
      <c r="BK4" s="102" t="s">
        <v>300</v>
      </c>
      <c r="BL4" s="102" t="s">
        <v>301</v>
      </c>
      <c r="BM4" s="92" t="s">
        <v>296</v>
      </c>
      <c r="BN4" s="17" t="s">
        <v>48</v>
      </c>
      <c r="BO4" s="89" t="s">
        <v>50</v>
      </c>
      <c r="BP4" s="164">
        <f>+Q4+30</f>
        <v>45206</v>
      </c>
      <c r="BQ4" s="74">
        <v>45176</v>
      </c>
      <c r="BR4" s="13">
        <f ca="1">(($D$1-Q4)/365)</f>
        <v>2.580821917808219</v>
      </c>
      <c r="BS4" s="101"/>
      <c r="BT4" s="27">
        <f>+AV4*1.07</f>
        <v>4.1897348000000001</v>
      </c>
      <c r="BU4" s="112"/>
      <c r="BV4" s="26"/>
      <c r="BW4" s="101"/>
      <c r="BX4" s="101"/>
      <c r="BY4" s="101"/>
      <c r="BZ4" s="101"/>
      <c r="CA4" s="101"/>
    </row>
    <row r="5" spans="1:79" s="30" customFormat="1" ht="150" x14ac:dyDescent="0.25">
      <c r="A5" s="8">
        <f t="shared" ref="A4:A13" si="4">1+A4</f>
        <v>2</v>
      </c>
      <c r="B5" s="94">
        <v>640</v>
      </c>
      <c r="C5" s="76" t="s">
        <v>297</v>
      </c>
      <c r="D5" s="76" t="s">
        <v>298</v>
      </c>
      <c r="E5" s="75" t="s">
        <v>70</v>
      </c>
      <c r="F5" s="76"/>
      <c r="G5" s="77" t="s">
        <v>47</v>
      </c>
      <c r="H5" s="76" t="s">
        <v>134</v>
      </c>
      <c r="I5" s="76" t="s">
        <v>134</v>
      </c>
      <c r="J5" s="78"/>
      <c r="K5" s="79">
        <v>45000</v>
      </c>
      <c r="L5" s="78"/>
      <c r="M5" s="80" t="s">
        <v>199</v>
      </c>
      <c r="N5" s="81" t="s">
        <v>134</v>
      </c>
      <c r="O5" s="11" t="s">
        <v>200</v>
      </c>
      <c r="P5" s="11" t="s">
        <v>145</v>
      </c>
      <c r="Q5" s="82">
        <v>45188</v>
      </c>
      <c r="R5" s="83"/>
      <c r="S5" s="95">
        <v>45188</v>
      </c>
      <c r="T5" s="74">
        <v>36462</v>
      </c>
      <c r="U5" s="55" t="s">
        <v>206</v>
      </c>
      <c r="V5" s="84">
        <f t="shared" ref="V5:V13" ca="1" si="5">(($D$1-T5)/365)</f>
        <v>26.454794520547946</v>
      </c>
      <c r="W5" s="84">
        <f t="shared" ref="W5:W13" ca="1" si="6">(($D$1-S5)/365)</f>
        <v>2.547945205479452</v>
      </c>
      <c r="X5" s="84" t="s">
        <v>79</v>
      </c>
      <c r="Y5" s="55" t="s">
        <v>103</v>
      </c>
      <c r="Z5" s="85" t="s">
        <v>247</v>
      </c>
      <c r="AA5" s="74"/>
      <c r="AB5" s="12"/>
      <c r="AC5" s="86">
        <v>45921</v>
      </c>
      <c r="AD5" s="55">
        <v>12</v>
      </c>
      <c r="AE5" s="74">
        <v>45901</v>
      </c>
      <c r="AF5" s="55" t="s">
        <v>41</v>
      </c>
      <c r="AG5" s="55"/>
      <c r="AH5" s="87" t="s">
        <v>150</v>
      </c>
      <c r="AI5" s="55" t="s">
        <v>37</v>
      </c>
      <c r="AJ5" s="55" t="s">
        <v>37</v>
      </c>
      <c r="AK5" s="55" t="s">
        <v>102</v>
      </c>
      <c r="AL5" s="55">
        <v>12358468</v>
      </c>
      <c r="AM5" s="55"/>
      <c r="AN5" s="55" t="s">
        <v>103</v>
      </c>
      <c r="AO5" s="55"/>
      <c r="AP5" s="74">
        <v>45188</v>
      </c>
      <c r="AQ5" s="86">
        <v>45536</v>
      </c>
      <c r="AR5" s="12">
        <v>45658</v>
      </c>
      <c r="AS5" s="55" t="s">
        <v>259</v>
      </c>
      <c r="AT5" s="17" t="s">
        <v>49</v>
      </c>
      <c r="AU5" s="88">
        <v>910</v>
      </c>
      <c r="AV5" s="88">
        <f>+AW5/173.333</f>
        <v>5.8682651312790988</v>
      </c>
      <c r="AW5" s="88">
        <v>1017.164</v>
      </c>
      <c r="AX5" s="24">
        <v>6.6</v>
      </c>
      <c r="AY5" s="107">
        <v>14.042999999999999</v>
      </c>
      <c r="AZ5" s="107">
        <v>75.786000000000001</v>
      </c>
      <c r="BA5" s="88">
        <v>1</v>
      </c>
      <c r="BB5" s="24">
        <f t="shared" ref="BB5:BB13" si="7">SUM(AW5:BA5)</f>
        <v>1114.5930000000001</v>
      </c>
      <c r="BC5" s="24">
        <f t="shared" ref="BC5:BC13" si="8">+BB5*($BD$1)</f>
        <v>184.6880601</v>
      </c>
      <c r="BD5" s="88"/>
      <c r="BE5" s="146">
        <f t="shared" si="0"/>
        <v>1299.2810601000001</v>
      </c>
      <c r="BF5" s="146">
        <f t="shared" si="1"/>
        <v>7.4959964235850691</v>
      </c>
      <c r="BG5" s="96"/>
      <c r="BH5" s="90"/>
      <c r="BI5" s="91">
        <f t="shared" si="2"/>
        <v>16890.653781300003</v>
      </c>
      <c r="BJ5" s="91">
        <f t="shared" si="3"/>
        <v>1407.5544817750003</v>
      </c>
      <c r="BK5" s="102" t="s">
        <v>175</v>
      </c>
      <c r="BL5" s="102" t="s">
        <v>302</v>
      </c>
      <c r="BM5" s="92" t="s">
        <v>296</v>
      </c>
      <c r="BN5" s="18" t="s">
        <v>207</v>
      </c>
      <c r="BO5" s="89" t="s">
        <v>50</v>
      </c>
      <c r="BP5" s="164">
        <f t="shared" ref="BP5:BP13" si="9">+Q5+30</f>
        <v>45218</v>
      </c>
      <c r="BQ5" s="74">
        <v>45188</v>
      </c>
      <c r="BR5" s="13">
        <f t="shared" ref="BR5:BR13" ca="1" si="10">(($D$1-Q5)/365)</f>
        <v>2.547945205479452</v>
      </c>
      <c r="BS5" s="101"/>
      <c r="BT5" s="27"/>
      <c r="BU5" s="112">
        <v>650</v>
      </c>
      <c r="BV5" s="26"/>
      <c r="BW5" s="101"/>
      <c r="BX5" s="101"/>
      <c r="BY5" s="101"/>
      <c r="BZ5" s="101"/>
      <c r="CA5" s="101"/>
    </row>
    <row r="6" spans="1:79" s="30" customFormat="1" ht="41.25" customHeight="1" x14ac:dyDescent="0.25">
      <c r="A6" s="8">
        <f t="shared" si="4"/>
        <v>3</v>
      </c>
      <c r="B6" s="94">
        <v>643</v>
      </c>
      <c r="C6" s="76" t="s">
        <v>297</v>
      </c>
      <c r="D6" s="76" t="s">
        <v>298</v>
      </c>
      <c r="E6" s="75" t="s">
        <v>70</v>
      </c>
      <c r="F6" s="76"/>
      <c r="G6" s="77" t="s">
        <v>47</v>
      </c>
      <c r="H6" s="76" t="s">
        <v>209</v>
      </c>
      <c r="I6" s="76" t="s">
        <v>210</v>
      </c>
      <c r="J6" s="78"/>
      <c r="K6" s="79">
        <v>43640</v>
      </c>
      <c r="L6" s="78"/>
      <c r="M6" s="80" t="s">
        <v>211</v>
      </c>
      <c r="N6" s="76" t="s">
        <v>209</v>
      </c>
      <c r="O6" s="11" t="s">
        <v>202</v>
      </c>
      <c r="P6" s="81" t="s">
        <v>146</v>
      </c>
      <c r="Q6" s="82">
        <v>45231</v>
      </c>
      <c r="R6" s="83"/>
      <c r="S6" s="95">
        <v>45231</v>
      </c>
      <c r="T6" s="74">
        <v>35701</v>
      </c>
      <c r="U6" s="55" t="s">
        <v>55</v>
      </c>
      <c r="V6" s="84">
        <f t="shared" ca="1" si="5"/>
        <v>28.539726027397261</v>
      </c>
      <c r="W6" s="84">
        <f t="shared" ca="1" si="6"/>
        <v>2.43013698630137</v>
      </c>
      <c r="X6" s="84" t="s">
        <v>49</v>
      </c>
      <c r="Y6" s="55" t="s">
        <v>103</v>
      </c>
      <c r="Z6" s="85" t="s">
        <v>251</v>
      </c>
      <c r="AA6" s="12"/>
      <c r="AB6" s="12"/>
      <c r="AC6" s="86">
        <v>45967</v>
      </c>
      <c r="AD6" s="55">
        <v>12</v>
      </c>
      <c r="AE6" s="74"/>
      <c r="AF6" s="55" t="s">
        <v>41</v>
      </c>
      <c r="AG6" s="55"/>
      <c r="AH6" s="87" t="s">
        <v>150</v>
      </c>
      <c r="AI6" s="55" t="s">
        <v>55</v>
      </c>
      <c r="AJ6" s="55" t="s">
        <v>55</v>
      </c>
      <c r="AK6" s="55" t="s">
        <v>150</v>
      </c>
      <c r="AL6" s="55">
        <v>12358468</v>
      </c>
      <c r="AM6" s="55" t="s">
        <v>290</v>
      </c>
      <c r="AN6" s="55" t="s">
        <v>93</v>
      </c>
      <c r="AO6" s="55"/>
      <c r="AP6" s="74">
        <v>45231</v>
      </c>
      <c r="AQ6" s="86">
        <v>45597</v>
      </c>
      <c r="AR6" s="12">
        <v>45658</v>
      </c>
      <c r="AS6" s="55" t="s">
        <v>260</v>
      </c>
      <c r="AT6" s="20" t="s">
        <v>49</v>
      </c>
      <c r="AU6" s="88">
        <v>1650</v>
      </c>
      <c r="AV6" s="88">
        <f>+AW6/173.33</f>
        <v>12.179080366930132</v>
      </c>
      <c r="AW6" s="88">
        <v>2111</v>
      </c>
      <c r="AX6" s="88">
        <v>6.6</v>
      </c>
      <c r="AY6" s="107">
        <v>15.589</v>
      </c>
      <c r="AZ6" s="107">
        <v>83.272000000000006</v>
      </c>
      <c r="BA6" s="88">
        <v>100</v>
      </c>
      <c r="BB6" s="24">
        <f t="shared" si="7"/>
        <v>2316.4609999999998</v>
      </c>
      <c r="BC6" s="24">
        <f t="shared" si="8"/>
        <v>383.83758769999992</v>
      </c>
      <c r="BD6" s="88"/>
      <c r="BE6" s="146">
        <f t="shared" si="0"/>
        <v>2700.2985876999996</v>
      </c>
      <c r="BF6" s="146">
        <f t="shared" si="1"/>
        <v>15.578945293371023</v>
      </c>
      <c r="BG6" s="96"/>
      <c r="BH6" s="90"/>
      <c r="BI6" s="91">
        <f t="shared" si="2"/>
        <v>35103.881640099993</v>
      </c>
      <c r="BJ6" s="91">
        <f t="shared" si="3"/>
        <v>2925.3234700083326</v>
      </c>
      <c r="BK6" s="102" t="s">
        <v>175</v>
      </c>
      <c r="BL6" s="102" t="s">
        <v>301</v>
      </c>
      <c r="BM6" s="92" t="s">
        <v>296</v>
      </c>
      <c r="BN6" s="105" t="s">
        <v>212</v>
      </c>
      <c r="BO6" s="89" t="s">
        <v>50</v>
      </c>
      <c r="BP6" s="164">
        <f t="shared" si="9"/>
        <v>45261</v>
      </c>
      <c r="BQ6" s="74">
        <v>45231</v>
      </c>
      <c r="BR6" s="13">
        <f t="shared" ca="1" si="10"/>
        <v>2.43013698630137</v>
      </c>
      <c r="BS6" s="101"/>
      <c r="BT6" s="27"/>
      <c r="BU6" s="112">
        <v>1300</v>
      </c>
      <c r="BV6" s="26"/>
      <c r="BW6" s="101"/>
      <c r="BX6" s="101"/>
      <c r="BY6" s="101"/>
      <c r="BZ6" s="101"/>
      <c r="CA6" s="101"/>
    </row>
    <row r="7" spans="1:79" s="30" customFormat="1" ht="41.25" customHeight="1" x14ac:dyDescent="0.25">
      <c r="A7" s="8">
        <f t="shared" si="4"/>
        <v>4</v>
      </c>
      <c r="B7" s="94">
        <v>645</v>
      </c>
      <c r="C7" s="76" t="s">
        <v>297</v>
      </c>
      <c r="D7" s="76" t="s">
        <v>298</v>
      </c>
      <c r="E7" s="75" t="s">
        <v>70</v>
      </c>
      <c r="F7" s="76"/>
      <c r="G7" s="31" t="s">
        <v>47</v>
      </c>
      <c r="H7" s="76" t="s">
        <v>213</v>
      </c>
      <c r="I7" s="76" t="s">
        <v>104</v>
      </c>
      <c r="J7" s="78"/>
      <c r="K7" s="79">
        <v>42947</v>
      </c>
      <c r="L7" s="78"/>
      <c r="M7" s="80" t="s">
        <v>57</v>
      </c>
      <c r="N7" s="76" t="s">
        <v>104</v>
      </c>
      <c r="O7" s="81" t="s">
        <v>201</v>
      </c>
      <c r="P7" s="11" t="s">
        <v>145</v>
      </c>
      <c r="Q7" s="82">
        <v>45352</v>
      </c>
      <c r="R7" s="83"/>
      <c r="S7" s="95">
        <v>45352</v>
      </c>
      <c r="T7" s="74">
        <v>36350</v>
      </c>
      <c r="U7" s="55" t="s">
        <v>37</v>
      </c>
      <c r="V7" s="84">
        <f t="shared" ca="1" si="5"/>
        <v>26.761643835616439</v>
      </c>
      <c r="W7" s="84">
        <f t="shared" ca="1" si="6"/>
        <v>2.0986301369863014</v>
      </c>
      <c r="X7" s="84" t="s">
        <v>49</v>
      </c>
      <c r="Y7" s="55" t="s">
        <v>52</v>
      </c>
      <c r="Z7" s="85" t="s">
        <v>214</v>
      </c>
      <c r="AA7" s="12">
        <v>45717</v>
      </c>
      <c r="AB7" s="12">
        <f>+AA7+365*4</f>
        <v>47177</v>
      </c>
      <c r="AC7" s="86" t="s">
        <v>47</v>
      </c>
      <c r="AD7" s="55"/>
      <c r="AE7" s="74">
        <v>45717</v>
      </c>
      <c r="AF7" s="55" t="s">
        <v>41</v>
      </c>
      <c r="AG7" s="55"/>
      <c r="AH7" s="87" t="s">
        <v>150</v>
      </c>
      <c r="AI7" s="55" t="s">
        <v>25</v>
      </c>
      <c r="AJ7" s="55" t="s">
        <v>25</v>
      </c>
      <c r="AK7" s="55" t="s">
        <v>150</v>
      </c>
      <c r="AL7" s="55">
        <v>12358468</v>
      </c>
      <c r="AM7" s="55" t="s">
        <v>291</v>
      </c>
      <c r="AN7" s="55" t="s">
        <v>73</v>
      </c>
      <c r="AO7" s="55">
        <v>1</v>
      </c>
      <c r="AP7" s="74">
        <v>45717</v>
      </c>
      <c r="AQ7" s="86">
        <v>46447</v>
      </c>
      <c r="AR7" s="12">
        <v>45717</v>
      </c>
      <c r="AS7" s="55" t="s">
        <v>271</v>
      </c>
      <c r="AT7" s="20" t="s">
        <v>195</v>
      </c>
      <c r="AU7" s="88">
        <v>660</v>
      </c>
      <c r="AV7" s="88">
        <f>+AW7/173.33</f>
        <v>4.0709185945883579</v>
      </c>
      <c r="AW7" s="88">
        <f>1.06*665.672</f>
        <v>705.61232000000007</v>
      </c>
      <c r="AX7" s="24">
        <v>6.6</v>
      </c>
      <c r="AY7" s="107">
        <v>14.042999999999999</v>
      </c>
      <c r="AZ7" s="107">
        <v>75.786000000000001</v>
      </c>
      <c r="BA7" s="88">
        <v>250</v>
      </c>
      <c r="BB7" s="24">
        <f t="shared" si="7"/>
        <v>1052.04132</v>
      </c>
      <c r="BC7" s="24">
        <f t="shared" si="8"/>
        <v>174.323246724</v>
      </c>
      <c r="BD7" s="88"/>
      <c r="BE7" s="146">
        <f t="shared" si="0"/>
        <v>1226.364566724</v>
      </c>
      <c r="BF7" s="146">
        <f t="shared" si="1"/>
        <v>7.0753162564126226</v>
      </c>
      <c r="BG7" s="96"/>
      <c r="BH7" s="90"/>
      <c r="BI7" s="91">
        <f t="shared" si="2"/>
        <v>15942.739367412001</v>
      </c>
      <c r="BJ7" s="91">
        <f t="shared" si="3"/>
        <v>1328.561613951</v>
      </c>
      <c r="BK7" s="102" t="s">
        <v>300</v>
      </c>
      <c r="BL7" s="102" t="s">
        <v>302</v>
      </c>
      <c r="BM7" s="92" t="s">
        <v>296</v>
      </c>
      <c r="BN7" s="17" t="s">
        <v>48</v>
      </c>
      <c r="BO7" s="89" t="s">
        <v>50</v>
      </c>
      <c r="BP7" s="164">
        <f t="shared" si="9"/>
        <v>45382</v>
      </c>
      <c r="BQ7" s="74">
        <v>45352</v>
      </c>
      <c r="BR7" s="13">
        <f t="shared" ca="1" si="10"/>
        <v>2.0986301369863014</v>
      </c>
      <c r="BS7" s="101"/>
      <c r="BT7" s="27">
        <f>+AV7*1.07</f>
        <v>4.3558828962095433</v>
      </c>
      <c r="BU7" s="112"/>
      <c r="BV7" s="26"/>
      <c r="BW7" s="101"/>
      <c r="BX7" s="101"/>
      <c r="BY7" s="101"/>
      <c r="BZ7" s="101"/>
      <c r="CA7" s="101"/>
    </row>
    <row r="8" spans="1:79" s="30" customFormat="1" ht="49.5" customHeight="1" x14ac:dyDescent="0.25">
      <c r="A8" s="8">
        <f t="shared" si="4"/>
        <v>5</v>
      </c>
      <c r="B8" s="94">
        <v>647</v>
      </c>
      <c r="C8" s="76" t="s">
        <v>297</v>
      </c>
      <c r="D8" s="76" t="s">
        <v>298</v>
      </c>
      <c r="E8" s="75" t="s">
        <v>70</v>
      </c>
      <c r="F8" s="76"/>
      <c r="G8" s="31" t="s">
        <v>47</v>
      </c>
      <c r="H8" s="76" t="s">
        <v>88</v>
      </c>
      <c r="I8" s="76" t="s">
        <v>133</v>
      </c>
      <c r="J8" s="78"/>
      <c r="K8" s="79">
        <v>42633</v>
      </c>
      <c r="L8" s="78"/>
      <c r="M8" s="80" t="s">
        <v>215</v>
      </c>
      <c r="N8" s="76" t="s">
        <v>88</v>
      </c>
      <c r="O8" s="76" t="s">
        <v>191</v>
      </c>
      <c r="P8" s="11" t="s">
        <v>144</v>
      </c>
      <c r="Q8" s="82">
        <v>45369</v>
      </c>
      <c r="R8" s="83"/>
      <c r="S8" s="95">
        <v>45369</v>
      </c>
      <c r="T8" s="74">
        <v>35984</v>
      </c>
      <c r="U8" s="55" t="s">
        <v>204</v>
      </c>
      <c r="V8" s="84">
        <f t="shared" ca="1" si="5"/>
        <v>27.764383561643836</v>
      </c>
      <c r="W8" s="84">
        <f t="shared" ca="1" si="6"/>
        <v>2.0520547945205481</v>
      </c>
      <c r="X8" s="84" t="s">
        <v>79</v>
      </c>
      <c r="Y8" s="55" t="s">
        <v>103</v>
      </c>
      <c r="Z8" s="85" t="s">
        <v>264</v>
      </c>
      <c r="AA8" s="12">
        <v>45748</v>
      </c>
      <c r="AB8" s="12">
        <f>+AA8+365*4</f>
        <v>47208</v>
      </c>
      <c r="AC8" s="86" t="s">
        <v>47</v>
      </c>
      <c r="AD8" s="55"/>
      <c r="AE8" s="74">
        <v>45748</v>
      </c>
      <c r="AF8" s="55" t="s">
        <v>79</v>
      </c>
      <c r="AG8" s="55"/>
      <c r="AH8" s="87" t="s">
        <v>150</v>
      </c>
      <c r="AI8" s="55" t="s">
        <v>26</v>
      </c>
      <c r="AJ8" s="55" t="s">
        <v>26</v>
      </c>
      <c r="AK8" s="55" t="s">
        <v>102</v>
      </c>
      <c r="AL8" s="55">
        <v>12358468</v>
      </c>
      <c r="AM8" s="55" t="s">
        <v>292</v>
      </c>
      <c r="AN8" s="55" t="s">
        <v>95</v>
      </c>
      <c r="AO8" s="55" t="s">
        <v>74</v>
      </c>
      <c r="AP8" s="74">
        <v>45369</v>
      </c>
      <c r="AQ8" s="86">
        <v>45717</v>
      </c>
      <c r="AR8" s="12">
        <v>45658</v>
      </c>
      <c r="AS8" s="55" t="s">
        <v>260</v>
      </c>
      <c r="AT8" s="20" t="s">
        <v>49</v>
      </c>
      <c r="AU8" s="88">
        <v>1600</v>
      </c>
      <c r="AV8" s="88">
        <f>+AW8/173.33</f>
        <v>11.774072578318814</v>
      </c>
      <c r="AW8" s="88">
        <v>2040.8</v>
      </c>
      <c r="AX8" s="88">
        <v>6.6</v>
      </c>
      <c r="AY8" s="107">
        <v>15.589</v>
      </c>
      <c r="AZ8" s="107">
        <v>83.272000000000006</v>
      </c>
      <c r="BA8" s="88">
        <v>100</v>
      </c>
      <c r="BB8" s="24">
        <f t="shared" si="7"/>
        <v>2246.261</v>
      </c>
      <c r="BC8" s="24">
        <f t="shared" si="8"/>
        <v>372.20544769999998</v>
      </c>
      <c r="BD8" s="88"/>
      <c r="BE8" s="146">
        <f t="shared" si="0"/>
        <v>2618.4664477000001</v>
      </c>
      <c r="BF8" s="146">
        <f t="shared" si="1"/>
        <v>15.10682771418681</v>
      </c>
      <c r="BG8" s="96"/>
      <c r="BH8" s="90"/>
      <c r="BI8" s="91">
        <f t="shared" si="2"/>
        <v>34040.063820100004</v>
      </c>
      <c r="BJ8" s="91">
        <f t="shared" si="3"/>
        <v>2836.6719850083336</v>
      </c>
      <c r="BK8" s="102" t="s">
        <v>175</v>
      </c>
      <c r="BL8" s="102" t="s">
        <v>301</v>
      </c>
      <c r="BM8" s="92" t="s">
        <v>296</v>
      </c>
      <c r="BN8" s="105" t="s">
        <v>91</v>
      </c>
      <c r="BO8" s="89" t="s">
        <v>50</v>
      </c>
      <c r="BP8" s="164">
        <f t="shared" si="9"/>
        <v>45399</v>
      </c>
      <c r="BQ8" s="74">
        <v>45369</v>
      </c>
      <c r="BR8" s="13">
        <f t="shared" ca="1" si="10"/>
        <v>2.0520547945205481</v>
      </c>
      <c r="BS8" s="101"/>
      <c r="BT8" s="27"/>
      <c r="BU8" s="112">
        <v>1300</v>
      </c>
      <c r="BV8" s="26"/>
      <c r="BW8" s="101"/>
      <c r="BX8" s="101"/>
      <c r="BY8" s="101"/>
      <c r="BZ8" s="101"/>
      <c r="CA8" s="101"/>
    </row>
    <row r="9" spans="1:79" s="30" customFormat="1" ht="41.25" customHeight="1" x14ac:dyDescent="0.25">
      <c r="A9" s="8">
        <f t="shared" si="4"/>
        <v>6</v>
      </c>
      <c r="B9" s="94">
        <v>648</v>
      </c>
      <c r="C9" s="76" t="s">
        <v>297</v>
      </c>
      <c r="D9" s="76" t="s">
        <v>298</v>
      </c>
      <c r="E9" s="75" t="s">
        <v>70</v>
      </c>
      <c r="F9" s="76"/>
      <c r="G9" s="31" t="s">
        <v>47</v>
      </c>
      <c r="H9" s="76" t="s">
        <v>4</v>
      </c>
      <c r="I9" s="76" t="s">
        <v>129</v>
      </c>
      <c r="J9" s="78"/>
      <c r="K9" s="79">
        <v>39191</v>
      </c>
      <c r="L9" s="78"/>
      <c r="M9" s="80" t="s">
        <v>221</v>
      </c>
      <c r="N9" s="76" t="s">
        <v>129</v>
      </c>
      <c r="O9" s="76" t="s">
        <v>129</v>
      </c>
      <c r="P9" s="11" t="s">
        <v>145</v>
      </c>
      <c r="Q9" s="82">
        <v>45400</v>
      </c>
      <c r="R9" s="83" t="s">
        <v>223</v>
      </c>
      <c r="S9" s="95">
        <v>45400</v>
      </c>
      <c r="T9" s="74">
        <v>32498</v>
      </c>
      <c r="U9" s="55" t="s">
        <v>222</v>
      </c>
      <c r="V9" s="84">
        <f t="shared" ca="1" si="5"/>
        <v>37.315068493150683</v>
      </c>
      <c r="W9" s="84">
        <f t="shared" ca="1" si="6"/>
        <v>1.9671232876712328</v>
      </c>
      <c r="X9" s="84" t="s">
        <v>79</v>
      </c>
      <c r="Y9" s="55" t="s">
        <v>51</v>
      </c>
      <c r="Z9" s="85"/>
      <c r="AA9" s="12">
        <v>45400</v>
      </c>
      <c r="AB9" s="12">
        <f>+AA9+365*4</f>
        <v>46860</v>
      </c>
      <c r="AC9" s="86" t="s">
        <v>47</v>
      </c>
      <c r="AD9" s="55"/>
      <c r="AE9" s="74">
        <v>45400</v>
      </c>
      <c r="AF9" s="55" t="s">
        <v>49</v>
      </c>
      <c r="AG9" s="55">
        <v>2</v>
      </c>
      <c r="AH9" s="87" t="s">
        <v>150</v>
      </c>
      <c r="AI9" s="55" t="s">
        <v>25</v>
      </c>
      <c r="AJ9" s="55" t="s">
        <v>25</v>
      </c>
      <c r="AK9" s="55" t="s">
        <v>150</v>
      </c>
      <c r="AL9" s="55">
        <v>12358468</v>
      </c>
      <c r="AM9" s="55" t="s">
        <v>224</v>
      </c>
      <c r="AN9" s="55" t="s">
        <v>72</v>
      </c>
      <c r="AO9" s="55">
        <v>1</v>
      </c>
      <c r="AP9" s="74">
        <v>45400</v>
      </c>
      <c r="AQ9" s="86">
        <v>46113</v>
      </c>
      <c r="AR9" s="12">
        <v>45658</v>
      </c>
      <c r="AS9" s="55"/>
      <c r="AT9" s="20" t="s">
        <v>195</v>
      </c>
      <c r="AU9" s="88">
        <v>638</v>
      </c>
      <c r="AV9" s="88">
        <f>1.06*3.694</f>
        <v>3.9156400000000002</v>
      </c>
      <c r="AW9" s="88">
        <f>+AV9*173.33</f>
        <v>678.6978812000001</v>
      </c>
      <c r="AX9" s="24">
        <v>6.6</v>
      </c>
      <c r="AY9" s="107">
        <v>14.042999999999999</v>
      </c>
      <c r="AZ9" s="107">
        <v>75.786000000000001</v>
      </c>
      <c r="BA9" s="88">
        <v>50</v>
      </c>
      <c r="BB9" s="24">
        <f t="shared" si="7"/>
        <v>825.12688120000007</v>
      </c>
      <c r="BC9" s="24">
        <f t="shared" si="8"/>
        <v>136.72352421484001</v>
      </c>
      <c r="BD9" s="88"/>
      <c r="BE9" s="146">
        <f t="shared" si="0"/>
        <v>961.85040541484011</v>
      </c>
      <c r="BF9" s="146">
        <f t="shared" si="1"/>
        <v>5.5492436705408181</v>
      </c>
      <c r="BG9" s="96"/>
      <c r="BH9" s="90"/>
      <c r="BI9" s="91">
        <f t="shared" si="2"/>
        <v>12504.055270392921</v>
      </c>
      <c r="BJ9" s="91">
        <f t="shared" si="3"/>
        <v>1042.0046058660766</v>
      </c>
      <c r="BK9" s="102" t="s">
        <v>300</v>
      </c>
      <c r="BL9" s="102" t="s">
        <v>302</v>
      </c>
      <c r="BM9" s="92" t="s">
        <v>296</v>
      </c>
      <c r="BN9" s="105" t="s">
        <v>53</v>
      </c>
      <c r="BO9" s="89" t="s">
        <v>50</v>
      </c>
      <c r="BP9" s="164">
        <f t="shared" si="9"/>
        <v>45430</v>
      </c>
      <c r="BQ9" s="74">
        <v>45404</v>
      </c>
      <c r="BR9" s="13">
        <f t="shared" ca="1" si="10"/>
        <v>1.9671232876712328</v>
      </c>
      <c r="BS9" s="101"/>
      <c r="BT9" s="27">
        <f>+AV9*1.07</f>
        <v>4.1897348000000001</v>
      </c>
      <c r="BU9" s="112"/>
      <c r="BV9" s="26"/>
      <c r="BW9" s="101"/>
      <c r="BX9" s="101"/>
      <c r="BY9" s="101"/>
      <c r="BZ9" s="101"/>
      <c r="CA9" s="101"/>
    </row>
    <row r="10" spans="1:79" s="30" customFormat="1" ht="41.25" customHeight="1" x14ac:dyDescent="0.25">
      <c r="A10" s="8">
        <f t="shared" si="4"/>
        <v>7</v>
      </c>
      <c r="B10" s="94">
        <v>651</v>
      </c>
      <c r="C10" s="76" t="s">
        <v>297</v>
      </c>
      <c r="D10" s="76" t="s">
        <v>298</v>
      </c>
      <c r="E10" s="75" t="s">
        <v>70</v>
      </c>
      <c r="F10" s="76"/>
      <c r="G10" s="77" t="s">
        <v>103</v>
      </c>
      <c r="H10" s="10" t="s">
        <v>237</v>
      </c>
      <c r="I10" s="10" t="s">
        <v>132</v>
      </c>
      <c r="J10" s="78"/>
      <c r="K10" s="79">
        <v>42973</v>
      </c>
      <c r="L10" s="78"/>
      <c r="M10" s="80" t="s">
        <v>238</v>
      </c>
      <c r="N10" s="76" t="s">
        <v>239</v>
      </c>
      <c r="O10" s="11" t="s">
        <v>262</v>
      </c>
      <c r="P10" s="81" t="s">
        <v>270</v>
      </c>
      <c r="Q10" s="82">
        <v>45523</v>
      </c>
      <c r="R10" s="83"/>
      <c r="S10" s="95">
        <v>45523</v>
      </c>
      <c r="T10" s="74">
        <v>36489</v>
      </c>
      <c r="U10" s="55" t="s">
        <v>37</v>
      </c>
      <c r="V10" s="84">
        <f t="shared" ca="1" si="5"/>
        <v>26.38082191780822</v>
      </c>
      <c r="W10" s="84">
        <f t="shared" ca="1" si="6"/>
        <v>1.6301369863013699</v>
      </c>
      <c r="X10" s="84" t="s">
        <v>79</v>
      </c>
      <c r="Y10" s="55" t="s">
        <v>103</v>
      </c>
      <c r="Z10" s="85" t="s">
        <v>265</v>
      </c>
      <c r="AA10" s="12"/>
      <c r="AB10" s="12"/>
      <c r="AC10" s="86">
        <v>46126</v>
      </c>
      <c r="AD10" s="55">
        <v>12</v>
      </c>
      <c r="AE10" s="74"/>
      <c r="AF10" s="55" t="s">
        <v>41</v>
      </c>
      <c r="AG10" s="55"/>
      <c r="AH10" s="87" t="s">
        <v>150</v>
      </c>
      <c r="AI10" s="55" t="s">
        <v>37</v>
      </c>
      <c r="AJ10" s="55" t="s">
        <v>37</v>
      </c>
      <c r="AK10" s="55" t="s">
        <v>102</v>
      </c>
      <c r="AL10" s="55">
        <v>12358468</v>
      </c>
      <c r="AM10" s="55" t="s">
        <v>293</v>
      </c>
      <c r="AN10" s="55" t="s">
        <v>103</v>
      </c>
      <c r="AO10" s="55"/>
      <c r="AP10" s="74">
        <v>45523</v>
      </c>
      <c r="AQ10" s="86">
        <v>45888</v>
      </c>
      <c r="AR10" s="12"/>
      <c r="AS10" s="55"/>
      <c r="AT10" s="20" t="s">
        <v>49</v>
      </c>
      <c r="AU10" s="88">
        <v>850</v>
      </c>
      <c r="AV10" s="88">
        <f>+AW10/173.33</f>
        <v>4.2954999134598735</v>
      </c>
      <c r="AW10" s="88">
        <f>850-AX10-AY10-AZ10</f>
        <v>744.53899999999987</v>
      </c>
      <c r="AX10" s="88">
        <v>6.6</v>
      </c>
      <c r="AY10" s="107">
        <v>15.589</v>
      </c>
      <c r="AZ10" s="107">
        <v>83.272000000000006</v>
      </c>
      <c r="BA10" s="88">
        <v>10</v>
      </c>
      <c r="BB10" s="24">
        <f t="shared" si="7"/>
        <v>860</v>
      </c>
      <c r="BC10" s="24">
        <f t="shared" si="8"/>
        <v>142.50199999999998</v>
      </c>
      <c r="BD10" s="88"/>
      <c r="BE10" s="146">
        <f t="shared" si="0"/>
        <v>1002.502</v>
      </c>
      <c r="BF10" s="146">
        <f t="shared" si="1"/>
        <v>5.7837766110886744</v>
      </c>
      <c r="BG10" s="96"/>
      <c r="BH10" s="90"/>
      <c r="BI10" s="91">
        <f t="shared" si="2"/>
        <v>13032.526</v>
      </c>
      <c r="BJ10" s="91">
        <f t="shared" si="3"/>
        <v>1086.0438333333334</v>
      </c>
      <c r="BK10" s="102" t="s">
        <v>175</v>
      </c>
      <c r="BL10" s="102" t="s">
        <v>301</v>
      </c>
      <c r="BM10" s="92" t="s">
        <v>296</v>
      </c>
      <c r="BN10" s="105" t="s">
        <v>91</v>
      </c>
      <c r="BO10" s="89" t="s">
        <v>50</v>
      </c>
      <c r="BP10" s="164">
        <f t="shared" si="9"/>
        <v>45553</v>
      </c>
      <c r="BQ10" s="74">
        <v>45523</v>
      </c>
      <c r="BR10" s="13">
        <f t="shared" ca="1" si="10"/>
        <v>1.6301369863013699</v>
      </c>
      <c r="BS10" s="101"/>
      <c r="BT10" s="27"/>
      <c r="BU10" s="112"/>
      <c r="BV10" s="26"/>
      <c r="BW10" s="101"/>
      <c r="BX10" s="101"/>
      <c r="BY10" s="101"/>
      <c r="BZ10" s="101"/>
      <c r="CA10" s="101"/>
    </row>
    <row r="11" spans="1:79" s="30" customFormat="1" ht="41.25" customHeight="1" x14ac:dyDescent="0.25">
      <c r="A11" s="8">
        <f t="shared" si="4"/>
        <v>8</v>
      </c>
      <c r="B11" s="94">
        <v>652</v>
      </c>
      <c r="C11" s="76" t="s">
        <v>297</v>
      </c>
      <c r="D11" s="76" t="s">
        <v>298</v>
      </c>
      <c r="E11" s="75" t="s">
        <v>70</v>
      </c>
      <c r="F11" s="76"/>
      <c r="G11" s="77" t="s">
        <v>47</v>
      </c>
      <c r="H11" s="10" t="s">
        <v>240</v>
      </c>
      <c r="I11" s="10" t="s">
        <v>198</v>
      </c>
      <c r="J11" s="78"/>
      <c r="K11" s="79">
        <v>43348</v>
      </c>
      <c r="L11" s="78"/>
      <c r="M11" s="80" t="s">
        <v>241</v>
      </c>
      <c r="N11" s="76" t="s">
        <v>198</v>
      </c>
      <c r="O11" s="11" t="s">
        <v>137</v>
      </c>
      <c r="P11" s="11" t="s">
        <v>145</v>
      </c>
      <c r="Q11" s="82">
        <v>45532</v>
      </c>
      <c r="R11" s="83"/>
      <c r="S11" s="95">
        <v>45532</v>
      </c>
      <c r="T11" s="74">
        <v>36478</v>
      </c>
      <c r="U11" s="55" t="s">
        <v>37</v>
      </c>
      <c r="V11" s="84">
        <f t="shared" ca="1" si="5"/>
        <v>26.410958904109588</v>
      </c>
      <c r="W11" s="84">
        <f t="shared" ca="1" si="6"/>
        <v>1.6054794520547946</v>
      </c>
      <c r="X11" s="84" t="s">
        <v>79</v>
      </c>
      <c r="Y11" s="55" t="s">
        <v>103</v>
      </c>
      <c r="Z11" s="85" t="s">
        <v>250</v>
      </c>
      <c r="AA11" s="12"/>
      <c r="AB11" s="12"/>
      <c r="AC11" s="86">
        <v>45953</v>
      </c>
      <c r="AD11" s="55">
        <v>12</v>
      </c>
      <c r="AE11" s="74"/>
      <c r="AF11" s="55" t="s">
        <v>41</v>
      </c>
      <c r="AG11" s="55"/>
      <c r="AH11" s="87" t="s">
        <v>150</v>
      </c>
      <c r="AI11" s="55" t="s">
        <v>25</v>
      </c>
      <c r="AJ11" s="55" t="s">
        <v>25</v>
      </c>
      <c r="AK11" s="55" t="s">
        <v>150</v>
      </c>
      <c r="AL11" s="55">
        <v>12358468</v>
      </c>
      <c r="AM11" s="55" t="s">
        <v>294</v>
      </c>
      <c r="AN11" s="55" t="s">
        <v>103</v>
      </c>
      <c r="AO11" s="55"/>
      <c r="AP11" s="74">
        <v>45962</v>
      </c>
      <c r="AQ11" s="86">
        <v>46692</v>
      </c>
      <c r="AR11" s="12" t="s">
        <v>284</v>
      </c>
      <c r="AS11" s="55" t="s">
        <v>285</v>
      </c>
      <c r="AT11" s="20" t="s">
        <v>195</v>
      </c>
      <c r="AU11" s="88">
        <v>705</v>
      </c>
      <c r="AV11" s="88">
        <f>4.215*1.06</f>
        <v>4.4679000000000002</v>
      </c>
      <c r="AW11" s="88">
        <f>303.571*1.07</f>
        <v>324.82097000000005</v>
      </c>
      <c r="AX11" s="88">
        <v>6.6</v>
      </c>
      <c r="AY11" s="107">
        <v>15.589</v>
      </c>
      <c r="AZ11" s="107">
        <v>83.272000000000006</v>
      </c>
      <c r="BA11" s="88">
        <v>50</v>
      </c>
      <c r="BB11" s="24">
        <f t="shared" si="7"/>
        <v>480.28197000000006</v>
      </c>
      <c r="BC11" s="24">
        <f t="shared" si="8"/>
        <v>79.582722429</v>
      </c>
      <c r="BD11" s="88"/>
      <c r="BE11" s="146">
        <f t="shared" si="0"/>
        <v>559.86469242900012</v>
      </c>
      <c r="BF11" s="146">
        <f t="shared" si="1"/>
        <v>3.2300507265274336</v>
      </c>
      <c r="BG11" s="96"/>
      <c r="BH11" s="90"/>
      <c r="BI11" s="91">
        <f t="shared" si="2"/>
        <v>7278.241001577002</v>
      </c>
      <c r="BJ11" s="91">
        <f t="shared" si="3"/>
        <v>606.5200834647502</v>
      </c>
      <c r="BK11" s="102" t="s">
        <v>175</v>
      </c>
      <c r="BL11" s="102" t="s">
        <v>302</v>
      </c>
      <c r="BM11" s="92" t="s">
        <v>296</v>
      </c>
      <c r="BN11" s="105" t="s">
        <v>91</v>
      </c>
      <c r="BO11" s="89" t="s">
        <v>50</v>
      </c>
      <c r="BP11" s="164">
        <f t="shared" si="9"/>
        <v>45562</v>
      </c>
      <c r="BQ11" s="74">
        <v>45532</v>
      </c>
      <c r="BR11" s="13">
        <f t="shared" ca="1" si="10"/>
        <v>1.6054794520547946</v>
      </c>
      <c r="BS11" s="101"/>
      <c r="BT11" s="27">
        <f>+AV11*1.07</f>
        <v>4.7806530000000009</v>
      </c>
      <c r="BU11" s="112"/>
      <c r="BV11" s="26"/>
      <c r="BW11" s="101"/>
      <c r="BX11" s="101"/>
      <c r="BY11" s="101"/>
      <c r="BZ11" s="101"/>
      <c r="CA11" s="101"/>
    </row>
    <row r="12" spans="1:79" s="30" customFormat="1" ht="41.25" customHeight="1" x14ac:dyDescent="0.25">
      <c r="A12" s="8">
        <f t="shared" si="4"/>
        <v>9</v>
      </c>
      <c r="B12" s="8">
        <f>1+B11</f>
        <v>653</v>
      </c>
      <c r="C12" s="76" t="s">
        <v>297</v>
      </c>
      <c r="D12" s="76" t="s">
        <v>298</v>
      </c>
      <c r="E12" s="75" t="s">
        <v>70</v>
      </c>
      <c r="F12" s="76"/>
      <c r="G12" s="77" t="s">
        <v>47</v>
      </c>
      <c r="H12" s="10" t="s">
        <v>100</v>
      </c>
      <c r="I12" s="10" t="s">
        <v>100</v>
      </c>
      <c r="J12" s="78"/>
      <c r="K12" s="79">
        <v>43710</v>
      </c>
      <c r="L12" s="78"/>
      <c r="M12" s="80" t="s">
        <v>242</v>
      </c>
      <c r="N12" s="76" t="s">
        <v>100</v>
      </c>
      <c r="O12" s="76" t="s">
        <v>100</v>
      </c>
      <c r="P12" s="11" t="s">
        <v>145</v>
      </c>
      <c r="Q12" s="82">
        <v>45532</v>
      </c>
      <c r="R12" s="83"/>
      <c r="S12" s="95">
        <v>45532</v>
      </c>
      <c r="T12" s="74">
        <v>36721</v>
      </c>
      <c r="U12" s="55" t="s">
        <v>37</v>
      </c>
      <c r="V12" s="84">
        <f t="shared" ca="1" si="5"/>
        <v>25.745205479452054</v>
      </c>
      <c r="W12" s="84">
        <f t="shared" ca="1" si="6"/>
        <v>1.6054794520547946</v>
      </c>
      <c r="X12" s="84" t="s">
        <v>79</v>
      </c>
      <c r="Y12" s="55" t="s">
        <v>103</v>
      </c>
      <c r="Z12" s="85" t="s">
        <v>243</v>
      </c>
      <c r="AA12" s="12"/>
      <c r="AB12" s="12"/>
      <c r="AC12" s="86">
        <v>45902</v>
      </c>
      <c r="AD12" s="55"/>
      <c r="AE12" s="74"/>
      <c r="AF12" s="55" t="s">
        <v>41</v>
      </c>
      <c r="AG12" s="55"/>
      <c r="AH12" s="87" t="s">
        <v>150</v>
      </c>
      <c r="AI12" s="55" t="s">
        <v>37</v>
      </c>
      <c r="AJ12" s="55" t="s">
        <v>37</v>
      </c>
      <c r="AK12" s="55" t="s">
        <v>102</v>
      </c>
      <c r="AL12" s="55">
        <v>12358468</v>
      </c>
      <c r="AM12" s="55" t="s">
        <v>295</v>
      </c>
      <c r="AN12" s="55" t="s">
        <v>103</v>
      </c>
      <c r="AO12" s="55"/>
      <c r="AP12" s="74">
        <v>45532</v>
      </c>
      <c r="AQ12" s="86">
        <v>45901</v>
      </c>
      <c r="AR12" s="12"/>
      <c r="AS12" s="55"/>
      <c r="AT12" s="20" t="s">
        <v>49</v>
      </c>
      <c r="AU12" s="88">
        <v>710</v>
      </c>
      <c r="AV12" s="88">
        <f>494.539/173.33</f>
        <v>2.8531644839323831</v>
      </c>
      <c r="AW12" s="88">
        <f>710-AX12-AY12-AZ12</f>
        <v>604.53899999999987</v>
      </c>
      <c r="AX12" s="88">
        <v>6.6</v>
      </c>
      <c r="AY12" s="107">
        <v>15.589</v>
      </c>
      <c r="AZ12" s="107">
        <v>83.272000000000006</v>
      </c>
      <c r="BA12" s="88">
        <v>60</v>
      </c>
      <c r="BB12" s="24">
        <f t="shared" si="7"/>
        <v>770</v>
      </c>
      <c r="BC12" s="24">
        <f t="shared" si="8"/>
        <v>127.58899999999998</v>
      </c>
      <c r="BD12" s="88"/>
      <c r="BE12" s="146">
        <f t="shared" si="0"/>
        <v>897.58899999999994</v>
      </c>
      <c r="BF12" s="146">
        <f t="shared" si="1"/>
        <v>5.1784976634166036</v>
      </c>
      <c r="BG12" s="96"/>
      <c r="BH12" s="90"/>
      <c r="BI12" s="91">
        <f t="shared" si="2"/>
        <v>11668.656999999999</v>
      </c>
      <c r="BJ12" s="91">
        <f t="shared" si="3"/>
        <v>972.38808333333327</v>
      </c>
      <c r="BK12" s="102" t="s">
        <v>300</v>
      </c>
      <c r="BL12" s="102" t="s">
        <v>301</v>
      </c>
      <c r="BM12" s="92" t="s">
        <v>296</v>
      </c>
      <c r="BN12" s="105" t="s">
        <v>225</v>
      </c>
      <c r="BO12" s="89" t="s">
        <v>50</v>
      </c>
      <c r="BP12" s="164">
        <f t="shared" si="9"/>
        <v>45562</v>
      </c>
      <c r="BQ12" s="74">
        <v>45532</v>
      </c>
      <c r="BR12" s="13">
        <f t="shared" ca="1" si="10"/>
        <v>1.6054794520547946</v>
      </c>
      <c r="BS12" s="101"/>
      <c r="BT12" s="27"/>
      <c r="BU12" s="112"/>
      <c r="BV12" s="26"/>
      <c r="BW12" s="101"/>
      <c r="BX12" s="101"/>
      <c r="BY12" s="101"/>
      <c r="BZ12" s="101"/>
      <c r="CA12" s="101"/>
    </row>
    <row r="13" spans="1:79" s="30" customFormat="1" ht="41.25" customHeight="1" x14ac:dyDescent="0.25">
      <c r="A13" s="8">
        <f t="shared" si="4"/>
        <v>10</v>
      </c>
      <c r="B13" s="8">
        <v>655</v>
      </c>
      <c r="C13" s="76" t="s">
        <v>297</v>
      </c>
      <c r="D13" s="76" t="s">
        <v>298</v>
      </c>
      <c r="E13" s="75" t="s">
        <v>70</v>
      </c>
      <c r="F13" s="76"/>
      <c r="G13" s="77" t="s">
        <v>103</v>
      </c>
      <c r="H13" s="10" t="s">
        <v>100</v>
      </c>
      <c r="I13" s="10" t="s">
        <v>100</v>
      </c>
      <c r="J13" s="78"/>
      <c r="K13" s="79">
        <v>43295</v>
      </c>
      <c r="L13" s="78"/>
      <c r="M13" s="80" t="s">
        <v>194</v>
      </c>
      <c r="N13" s="76" t="s">
        <v>134</v>
      </c>
      <c r="O13" s="11" t="s">
        <v>261</v>
      </c>
      <c r="P13" s="11" t="s">
        <v>145</v>
      </c>
      <c r="Q13" s="82">
        <v>45558</v>
      </c>
      <c r="R13" s="83"/>
      <c r="S13" s="95">
        <v>45558</v>
      </c>
      <c r="T13" s="74">
        <v>36069</v>
      </c>
      <c r="U13" s="55" t="s">
        <v>244</v>
      </c>
      <c r="V13" s="84">
        <f t="shared" ca="1" si="5"/>
        <v>27.531506849315068</v>
      </c>
      <c r="W13" s="84">
        <f t="shared" ca="1" si="6"/>
        <v>1.5342465753424657</v>
      </c>
      <c r="X13" s="84" t="s">
        <v>79</v>
      </c>
      <c r="Y13" s="55" t="s">
        <v>103</v>
      </c>
      <c r="Z13" s="85" t="s">
        <v>248</v>
      </c>
      <c r="AA13" s="12"/>
      <c r="AB13" s="12"/>
      <c r="AC13" s="86">
        <v>46290</v>
      </c>
      <c r="AD13" s="55"/>
      <c r="AE13" s="74"/>
      <c r="AF13" s="55" t="s">
        <v>41</v>
      </c>
      <c r="AG13" s="55"/>
      <c r="AH13" s="87" t="s">
        <v>150</v>
      </c>
      <c r="AI13" s="55" t="s">
        <v>37</v>
      </c>
      <c r="AJ13" s="55" t="s">
        <v>37</v>
      </c>
      <c r="AK13" s="55" t="s">
        <v>102</v>
      </c>
      <c r="AL13" s="55">
        <v>12358468</v>
      </c>
      <c r="AM13" s="55" t="s">
        <v>245</v>
      </c>
      <c r="AN13" s="55" t="s">
        <v>103</v>
      </c>
      <c r="AO13" s="55"/>
      <c r="AP13" s="74">
        <v>45558</v>
      </c>
      <c r="AQ13" s="86">
        <v>45931</v>
      </c>
      <c r="AR13" s="12"/>
      <c r="AS13" s="55"/>
      <c r="AT13" s="20" t="s">
        <v>49</v>
      </c>
      <c r="AU13" s="88">
        <v>710</v>
      </c>
      <c r="AV13" s="88">
        <f>494.539/173.33</f>
        <v>2.8531644839323831</v>
      </c>
      <c r="AW13" s="88">
        <f>710-AX13-AY13-AZ13</f>
        <v>604.53899999999987</v>
      </c>
      <c r="AX13" s="88">
        <v>6.6</v>
      </c>
      <c r="AY13" s="107">
        <v>15.589</v>
      </c>
      <c r="AZ13" s="107">
        <v>83.272000000000006</v>
      </c>
      <c r="BA13" s="88">
        <v>70</v>
      </c>
      <c r="BB13" s="24">
        <f t="shared" si="7"/>
        <v>780</v>
      </c>
      <c r="BC13" s="24">
        <f t="shared" si="8"/>
        <v>129.24599999999998</v>
      </c>
      <c r="BD13" s="88"/>
      <c r="BE13" s="146">
        <f t="shared" si="0"/>
        <v>909.24599999999998</v>
      </c>
      <c r="BF13" s="146">
        <f t="shared" si="1"/>
        <v>5.2457508798246115</v>
      </c>
      <c r="BG13" s="96"/>
      <c r="BH13" s="90"/>
      <c r="BI13" s="91">
        <f t="shared" si="2"/>
        <v>11820.198</v>
      </c>
      <c r="BJ13" s="91">
        <f t="shared" si="3"/>
        <v>985.01650000000006</v>
      </c>
      <c r="BK13" s="102" t="s">
        <v>175</v>
      </c>
      <c r="BL13" s="102" t="s">
        <v>302</v>
      </c>
      <c r="BM13" s="92" t="s">
        <v>296</v>
      </c>
      <c r="BN13" s="105" t="s">
        <v>246</v>
      </c>
      <c r="BO13" s="89" t="s">
        <v>50</v>
      </c>
      <c r="BP13" s="164">
        <f t="shared" si="9"/>
        <v>45588</v>
      </c>
      <c r="BQ13" s="74">
        <v>45558</v>
      </c>
      <c r="BR13" s="13">
        <f t="shared" ca="1" si="10"/>
        <v>1.5342465753424657</v>
      </c>
      <c r="BS13" s="101"/>
      <c r="BT13" s="27"/>
      <c r="BU13" s="112"/>
      <c r="BV13" s="26"/>
      <c r="BW13" s="101"/>
      <c r="BX13" s="101"/>
      <c r="BY13" s="101"/>
      <c r="BZ13" s="101"/>
      <c r="CA13" s="101"/>
    </row>
    <row r="14" spans="1:79" x14ac:dyDescent="0.25">
      <c r="BO14"/>
      <c r="BP14"/>
    </row>
    <row r="15" spans="1:79" x14ac:dyDescent="0.25">
      <c r="A15" t="e">
        <f>+#REF!+#REF!</f>
        <v>#REF!</v>
      </c>
      <c r="BO15"/>
      <c r="BP15"/>
    </row>
    <row r="16" spans="1:79" x14ac:dyDescent="0.25">
      <c r="BO16"/>
      <c r="BP16"/>
    </row>
    <row r="17" spans="67:68" x14ac:dyDescent="0.25">
      <c r="BO17"/>
      <c r="BP17"/>
    </row>
    <row r="18" spans="67:68" x14ac:dyDescent="0.25">
      <c r="BO18"/>
      <c r="BP18"/>
    </row>
  </sheetData>
  <printOptions horizontalCentered="1" verticalCentered="1"/>
  <pageMargins left="0.12" right="0.12" top="0.21" bottom="0.28000000000000003" header="0.12" footer="0.12"/>
  <pageSetup paperSize="9" scale="65" orientation="landscape" horizontalDpi="0" verticalDpi="0" r:id="rId1"/>
  <headerFooter>
    <oddFooter>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A45-4388-479D-B938-5C45A537ECEA}">
  <dimension ref="A1:Y259"/>
  <sheetViews>
    <sheetView topLeftCell="A46" zoomScale="80" zoomScaleNormal="80" workbookViewId="0">
      <selection activeCell="T20" sqref="T20"/>
    </sheetView>
  </sheetViews>
  <sheetFormatPr baseColWidth="10" defaultRowHeight="15" x14ac:dyDescent="0.25"/>
  <cols>
    <col min="1" max="1" width="6.42578125" customWidth="1"/>
    <col min="2" max="3" width="9.140625" customWidth="1"/>
    <col min="4" max="4" width="10.140625" customWidth="1"/>
    <col min="5" max="5" width="9.28515625" customWidth="1"/>
    <col min="6" max="6" width="8.42578125" customWidth="1"/>
    <col min="7" max="7" width="10.85546875" customWidth="1"/>
    <col min="8" max="8" width="9.42578125" customWidth="1"/>
    <col min="9" max="9" width="9.140625" customWidth="1"/>
    <col min="10" max="10" width="8.5703125" customWidth="1"/>
    <col min="11" max="11" width="9" customWidth="1"/>
    <col min="12" max="12" width="9.42578125" customWidth="1"/>
    <col min="13" max="13" width="8.5703125" customWidth="1"/>
    <col min="14" max="14" width="8.42578125" customWidth="1"/>
    <col min="15" max="15" width="11.5703125" bestFit="1" customWidth="1"/>
    <col min="16" max="16" width="9.140625" customWidth="1"/>
    <col min="17" max="17" width="7.85546875" bestFit="1" customWidth="1"/>
    <col min="18" max="20" width="7.7109375" bestFit="1" customWidth="1"/>
    <col min="21" max="21" width="8.5703125" bestFit="1" customWidth="1"/>
    <col min="22" max="22" width="9.85546875" customWidth="1"/>
    <col min="23" max="24" width="7.7109375" bestFit="1" customWidth="1"/>
    <col min="25" max="25" width="7.42578125" bestFit="1" customWidth="1"/>
    <col min="26" max="26" width="7.7109375" bestFit="1" customWidth="1"/>
    <col min="27" max="27" width="7.28515625" bestFit="1" customWidth="1"/>
    <col min="28" max="28" width="7.7109375" bestFit="1" customWidth="1"/>
    <col min="29" max="41" width="8.5703125" customWidth="1"/>
  </cols>
  <sheetData>
    <row r="1" spans="1:22" ht="30" customHeight="1" x14ac:dyDescent="0.25">
      <c r="A1" s="47">
        <v>1</v>
      </c>
      <c r="B1" s="161" t="s">
        <v>110</v>
      </c>
      <c r="C1" s="161"/>
      <c r="D1" s="161"/>
      <c r="E1" s="161"/>
      <c r="F1" s="161"/>
      <c r="G1" s="161"/>
      <c r="N1" s="22" t="s">
        <v>151</v>
      </c>
      <c r="O1" s="5">
        <f ca="1">TODAY()</f>
        <v>46118</v>
      </c>
    </row>
    <row r="2" spans="1:22" x14ac:dyDescent="0.25">
      <c r="K2" s="1"/>
      <c r="L2" s="1"/>
      <c r="M2" s="1"/>
      <c r="N2" s="1"/>
      <c r="O2" s="1"/>
    </row>
    <row r="3" spans="1:22" ht="75" x14ac:dyDescent="0.25">
      <c r="B3" s="3"/>
      <c r="C3" s="8" t="s">
        <v>121</v>
      </c>
      <c r="D3" s="8" t="s">
        <v>107</v>
      </c>
      <c r="E3" s="8" t="s">
        <v>108</v>
      </c>
      <c r="G3" t="s">
        <v>111</v>
      </c>
      <c r="H3" s="15" t="s">
        <v>273</v>
      </c>
      <c r="J3" s="1" t="s">
        <v>122</v>
      </c>
      <c r="K3" s="9" t="s">
        <v>123</v>
      </c>
      <c r="L3" s="9" t="s">
        <v>124</v>
      </c>
      <c r="M3" s="9" t="s">
        <v>125</v>
      </c>
      <c r="N3" s="32" t="s">
        <v>272</v>
      </c>
      <c r="O3" s="32" t="s">
        <v>126</v>
      </c>
    </row>
    <row r="4" spans="1:22" x14ac:dyDescent="0.25">
      <c r="B4" s="60">
        <v>45658</v>
      </c>
      <c r="C4" s="8">
        <v>85</v>
      </c>
      <c r="D4" s="8">
        <v>1</v>
      </c>
      <c r="E4" s="8">
        <v>1</v>
      </c>
      <c r="F4" s="45">
        <f>+E4-D4</f>
        <v>0</v>
      </c>
      <c r="G4" s="46">
        <f>+D4/C4</f>
        <v>1.1764705882352941E-2</v>
      </c>
      <c r="H4" s="104">
        <v>0</v>
      </c>
      <c r="J4" s="60">
        <v>45658</v>
      </c>
      <c r="K4" s="8">
        <v>1</v>
      </c>
      <c r="L4" s="8"/>
      <c r="M4" s="8">
        <v>1</v>
      </c>
      <c r="N4" s="8"/>
      <c r="O4" s="8"/>
    </row>
    <row r="5" spans="1:22" ht="15.75" x14ac:dyDescent="0.25">
      <c r="B5" s="60">
        <v>45689</v>
      </c>
      <c r="C5" s="8">
        <v>85</v>
      </c>
      <c r="D5" s="8">
        <v>1</v>
      </c>
      <c r="E5" s="8">
        <v>3</v>
      </c>
      <c r="F5" s="45">
        <f>+E5-D5</f>
        <v>2</v>
      </c>
      <c r="G5" s="46">
        <f t="shared" ref="G5:G15" si="0">+D5/C5</f>
        <v>1.1764705882352941E-2</v>
      </c>
      <c r="H5" s="104">
        <v>0</v>
      </c>
      <c r="J5" s="60">
        <v>45689</v>
      </c>
      <c r="K5" s="50">
        <v>1</v>
      </c>
      <c r="L5" s="9"/>
      <c r="M5" s="9">
        <v>1</v>
      </c>
      <c r="N5" s="8"/>
      <c r="O5" s="8"/>
    </row>
    <row r="6" spans="1:22" ht="15.75" x14ac:dyDescent="0.25">
      <c r="B6" s="60">
        <v>45717</v>
      </c>
      <c r="C6" s="8">
        <v>87</v>
      </c>
      <c r="D6" s="8"/>
      <c r="E6" s="8">
        <v>2</v>
      </c>
      <c r="F6" s="45">
        <f>+E6-D6</f>
        <v>2</v>
      </c>
      <c r="G6" s="46">
        <f t="shared" si="0"/>
        <v>0</v>
      </c>
      <c r="H6" s="104">
        <v>0</v>
      </c>
      <c r="J6" s="60">
        <v>45717</v>
      </c>
      <c r="K6" s="9"/>
      <c r="L6" s="9"/>
      <c r="M6" s="9"/>
      <c r="N6" s="8"/>
      <c r="O6" s="8"/>
      <c r="V6" s="46"/>
    </row>
    <row r="7" spans="1:22" ht="15.75" x14ac:dyDescent="0.25">
      <c r="B7" s="60">
        <v>45748</v>
      </c>
      <c r="C7" s="8">
        <v>89</v>
      </c>
      <c r="D7" s="8"/>
      <c r="E7" s="8"/>
      <c r="F7" s="45">
        <f>+E7-D7</f>
        <v>0</v>
      </c>
      <c r="G7" s="46">
        <f t="shared" si="0"/>
        <v>0</v>
      </c>
      <c r="H7" s="104">
        <v>0</v>
      </c>
      <c r="J7" s="60">
        <v>45748</v>
      </c>
      <c r="K7" s="9"/>
      <c r="L7" s="9"/>
      <c r="M7" s="9"/>
      <c r="N7" s="8"/>
      <c r="O7" s="8"/>
    </row>
    <row r="8" spans="1:22" ht="45" x14ac:dyDescent="0.25">
      <c r="B8" s="60">
        <v>45778</v>
      </c>
      <c r="C8" s="8">
        <v>91</v>
      </c>
      <c r="D8" s="8">
        <v>2</v>
      </c>
      <c r="E8" s="8">
        <v>3</v>
      </c>
      <c r="F8" s="45">
        <f>+E8-D8</f>
        <v>1</v>
      </c>
      <c r="G8" s="46">
        <f t="shared" si="0"/>
        <v>2.197802197802198E-2</v>
      </c>
      <c r="H8" s="104">
        <f>+G8</f>
        <v>2.197802197802198E-2</v>
      </c>
      <c r="J8" s="60">
        <v>45778</v>
      </c>
      <c r="K8" s="9">
        <v>2</v>
      </c>
      <c r="L8" s="9"/>
      <c r="M8" s="9">
        <v>1</v>
      </c>
      <c r="N8" s="8"/>
      <c r="O8" s="8">
        <v>1</v>
      </c>
      <c r="P8" t="s">
        <v>267</v>
      </c>
    </row>
    <row r="9" spans="1:22" ht="15.75" x14ac:dyDescent="0.25">
      <c r="B9" s="60">
        <v>45809</v>
      </c>
      <c r="C9" s="8">
        <v>92</v>
      </c>
      <c r="D9" s="8">
        <v>1</v>
      </c>
      <c r="E9" s="8">
        <v>3</v>
      </c>
      <c r="F9" s="45">
        <f t="shared" ref="F9:F15" si="1">+E9-D9</f>
        <v>2</v>
      </c>
      <c r="G9" s="46">
        <f t="shared" si="0"/>
        <v>1.0869565217391304E-2</v>
      </c>
      <c r="H9" s="104">
        <v>0</v>
      </c>
      <c r="I9" s="73"/>
      <c r="J9" s="60">
        <v>45809</v>
      </c>
      <c r="K9" s="9">
        <v>1</v>
      </c>
      <c r="L9" s="9"/>
      <c r="M9" s="9"/>
      <c r="N9" s="8">
        <v>1</v>
      </c>
      <c r="O9" s="8"/>
    </row>
    <row r="10" spans="1:22" ht="15.75" x14ac:dyDescent="0.25">
      <c r="B10" s="60">
        <v>45839</v>
      </c>
      <c r="C10" s="8">
        <v>93</v>
      </c>
      <c r="D10" s="8">
        <v>2</v>
      </c>
      <c r="E10" s="8">
        <v>3</v>
      </c>
      <c r="F10" s="45">
        <f t="shared" si="1"/>
        <v>1</v>
      </c>
      <c r="G10" s="46">
        <f t="shared" si="0"/>
        <v>2.1505376344086023E-2</v>
      </c>
      <c r="H10" s="104">
        <v>0</v>
      </c>
      <c r="I10" s="73"/>
      <c r="J10" s="60">
        <v>45839</v>
      </c>
      <c r="K10" s="9">
        <v>2</v>
      </c>
      <c r="L10" s="9"/>
      <c r="M10" s="9">
        <v>2</v>
      </c>
      <c r="N10" s="8"/>
      <c r="O10" s="8"/>
    </row>
    <row r="11" spans="1:22" ht="45" x14ac:dyDescent="0.25">
      <c r="B11" s="60">
        <v>45870</v>
      </c>
      <c r="C11" s="8">
        <v>94</v>
      </c>
      <c r="D11" s="8">
        <v>3</v>
      </c>
      <c r="E11" s="8">
        <v>1</v>
      </c>
      <c r="F11" s="45">
        <f t="shared" si="1"/>
        <v>-2</v>
      </c>
      <c r="G11" s="46">
        <f t="shared" si="0"/>
        <v>3.1914893617021274E-2</v>
      </c>
      <c r="H11" s="104">
        <v>0</v>
      </c>
      <c r="I11" s="73" t="s">
        <v>208</v>
      </c>
      <c r="J11" s="60">
        <v>45870</v>
      </c>
      <c r="K11" s="9">
        <v>3</v>
      </c>
      <c r="L11" s="9"/>
      <c r="M11" s="9">
        <v>1</v>
      </c>
      <c r="N11" s="8">
        <v>2</v>
      </c>
      <c r="O11" s="8"/>
    </row>
    <row r="12" spans="1:22" ht="15.75" x14ac:dyDescent="0.25">
      <c r="B12" s="60">
        <v>45901</v>
      </c>
      <c r="C12" s="8">
        <v>92</v>
      </c>
      <c r="D12" s="8">
        <v>2</v>
      </c>
      <c r="E12" s="8">
        <v>10</v>
      </c>
      <c r="F12" s="45">
        <f t="shared" si="1"/>
        <v>8</v>
      </c>
      <c r="G12" s="46">
        <f t="shared" si="0"/>
        <v>2.1739130434782608E-2</v>
      </c>
      <c r="H12" s="104">
        <v>0</v>
      </c>
      <c r="I12" s="73"/>
      <c r="J12" s="60">
        <v>45901</v>
      </c>
      <c r="K12" s="9">
        <v>2</v>
      </c>
      <c r="L12" s="9"/>
      <c r="M12" s="9">
        <v>2</v>
      </c>
      <c r="N12" s="8"/>
      <c r="O12" s="8"/>
    </row>
    <row r="13" spans="1:22" ht="15.75" x14ac:dyDescent="0.25">
      <c r="B13" s="60">
        <v>45931</v>
      </c>
      <c r="C13" s="8">
        <v>100</v>
      </c>
      <c r="D13" s="8">
        <v>2</v>
      </c>
      <c r="E13" s="8">
        <v>5</v>
      </c>
      <c r="F13" s="45">
        <f t="shared" si="1"/>
        <v>3</v>
      </c>
      <c r="G13" s="46">
        <f t="shared" si="0"/>
        <v>0.02</v>
      </c>
      <c r="H13" s="104">
        <v>0.01</v>
      </c>
      <c r="I13" s="73"/>
      <c r="J13" s="60">
        <v>45931</v>
      </c>
      <c r="K13" s="9">
        <v>2</v>
      </c>
      <c r="L13" s="9"/>
      <c r="M13" s="9">
        <v>2</v>
      </c>
      <c r="N13" s="8"/>
      <c r="O13" s="8"/>
    </row>
    <row r="14" spans="1:22" ht="15.75" x14ac:dyDescent="0.25">
      <c r="B14" s="60">
        <v>45962</v>
      </c>
      <c r="C14" s="8">
        <v>103</v>
      </c>
      <c r="D14" s="8">
        <v>4</v>
      </c>
      <c r="E14" s="8"/>
      <c r="F14" s="45">
        <f t="shared" si="1"/>
        <v>-4</v>
      </c>
      <c r="G14" s="46">
        <f t="shared" si="0"/>
        <v>3.8834951456310676E-2</v>
      </c>
      <c r="H14" s="153">
        <v>2.9126213592233011E-2</v>
      </c>
      <c r="J14" s="60">
        <v>45962</v>
      </c>
      <c r="K14" s="9">
        <v>4</v>
      </c>
      <c r="L14" s="9"/>
      <c r="M14" s="9">
        <v>4</v>
      </c>
      <c r="N14" s="8"/>
      <c r="O14" s="8"/>
      <c r="P14" t="s">
        <v>252</v>
      </c>
    </row>
    <row r="15" spans="1:22" ht="15.75" x14ac:dyDescent="0.25">
      <c r="B15" s="60">
        <v>45992</v>
      </c>
      <c r="C15" s="8">
        <v>99</v>
      </c>
      <c r="D15" s="8">
        <v>3</v>
      </c>
      <c r="E15" s="8"/>
      <c r="F15" s="45">
        <f t="shared" si="1"/>
        <v>-3</v>
      </c>
      <c r="G15" s="46">
        <f t="shared" si="0"/>
        <v>3.0303030303030304E-2</v>
      </c>
      <c r="H15" s="153"/>
      <c r="J15" s="60">
        <v>45992</v>
      </c>
      <c r="K15" s="9">
        <v>3</v>
      </c>
      <c r="L15" s="9"/>
      <c r="M15" s="9">
        <v>3</v>
      </c>
      <c r="N15" s="8"/>
      <c r="O15" s="8"/>
      <c r="P15" s="49"/>
      <c r="Q15" s="3"/>
      <c r="R15" s="3"/>
      <c r="S15" s="3"/>
    </row>
    <row r="16" spans="1:22" ht="30" x14ac:dyDescent="0.25">
      <c r="B16" s="8" t="s">
        <v>112</v>
      </c>
      <c r="C16" s="61">
        <f>SUM(C4:C15)/12</f>
        <v>92.5</v>
      </c>
      <c r="D16" s="8">
        <f>SUM(D4:D15)</f>
        <v>21</v>
      </c>
      <c r="E16" s="8">
        <f>SUM(E4:E15)</f>
        <v>31</v>
      </c>
      <c r="F16" s="45">
        <f>+E16-D16</f>
        <v>10</v>
      </c>
      <c r="G16" s="46"/>
      <c r="H16" s="153"/>
      <c r="J16" s="32" t="s">
        <v>127</v>
      </c>
      <c r="K16" s="50">
        <f>SUM(K4:K15)</f>
        <v>21</v>
      </c>
      <c r="L16" s="50">
        <f>SUM(L4:L15)</f>
        <v>0</v>
      </c>
      <c r="M16" s="50">
        <f>SUM(M4:M15)</f>
        <v>17</v>
      </c>
      <c r="N16" s="50">
        <f>SUM(N4:N15)</f>
        <v>3</v>
      </c>
      <c r="O16" s="50">
        <f>SUM(O4:O15)</f>
        <v>1</v>
      </c>
    </row>
    <row r="17" spans="1:15" x14ac:dyDescent="0.25">
      <c r="G17" s="98">
        <f>SUM(G4:G11)/11</f>
        <v>9.9815699019296777E-3</v>
      </c>
      <c r="H17" s="98">
        <f>SUM(H4:H11)/8</f>
        <v>2.7472527472527475E-3</v>
      </c>
      <c r="K17" s="98">
        <f>SUM(L17:O17)</f>
        <v>1</v>
      </c>
      <c r="L17" s="46">
        <f>+L16/K16</f>
        <v>0</v>
      </c>
      <c r="M17" s="46">
        <f>+M16/K16</f>
        <v>0.80952380952380953</v>
      </c>
      <c r="N17" s="46">
        <f>+N16/K16</f>
        <v>0.14285714285714285</v>
      </c>
      <c r="O17" s="46">
        <f>+O16/K16</f>
        <v>4.7619047619047616E-2</v>
      </c>
    </row>
    <row r="18" spans="1:15" x14ac:dyDescent="0.25">
      <c r="G18" s="98"/>
      <c r="H18" s="98"/>
      <c r="K18" s="98"/>
      <c r="L18" s="46"/>
      <c r="M18" s="46"/>
      <c r="N18" s="46"/>
      <c r="O18" s="46"/>
    </row>
    <row r="20" spans="1:15" ht="326.25" customHeight="1" x14ac:dyDescent="0.25"/>
    <row r="21" spans="1:15" ht="24.75" customHeight="1" x14ac:dyDescent="0.25">
      <c r="A21" s="47">
        <v>2</v>
      </c>
      <c r="B21" s="163" t="s">
        <v>116</v>
      </c>
      <c r="C21" s="163"/>
      <c r="D21" s="163"/>
      <c r="E21" s="163"/>
      <c r="F21" s="163"/>
      <c r="G21" s="163"/>
    </row>
    <row r="23" spans="1:15" x14ac:dyDescent="0.25">
      <c r="B23" s="62" t="s">
        <v>113</v>
      </c>
      <c r="C23" s="63"/>
      <c r="D23" s="63" t="s">
        <v>63</v>
      </c>
      <c r="E23" s="8" t="s">
        <v>64</v>
      </c>
    </row>
    <row r="24" spans="1:15" x14ac:dyDescent="0.25">
      <c r="B24" s="64" t="s">
        <v>26</v>
      </c>
      <c r="C24" s="65"/>
      <c r="D24" s="63">
        <v>32</v>
      </c>
      <c r="E24" s="66">
        <f>+D24/D35</f>
        <v>0.32323232323232326</v>
      </c>
    </row>
    <row r="25" spans="1:15" x14ac:dyDescent="0.25">
      <c r="B25" s="67" t="s">
        <v>61</v>
      </c>
      <c r="C25" s="63"/>
      <c r="D25" s="63">
        <v>26</v>
      </c>
      <c r="E25" s="66">
        <f>+D25/D35</f>
        <v>0.26262626262626265</v>
      </c>
    </row>
    <row r="26" spans="1:15" x14ac:dyDescent="0.25">
      <c r="B26" s="67" t="s">
        <v>204</v>
      </c>
      <c r="C26" s="63"/>
      <c r="D26" s="63">
        <v>1</v>
      </c>
      <c r="E26" s="66">
        <f>+D26/D35</f>
        <v>1.0101010101010102E-2</v>
      </c>
    </row>
    <row r="27" spans="1:15" x14ac:dyDescent="0.25">
      <c r="B27" s="67" t="s">
        <v>62</v>
      </c>
      <c r="C27" s="63"/>
      <c r="D27" s="63">
        <v>4</v>
      </c>
      <c r="E27" s="66">
        <f>+D27/D35</f>
        <v>4.0404040404040407E-2</v>
      </c>
    </row>
    <row r="28" spans="1:15" x14ac:dyDescent="0.25">
      <c r="B28" s="67" t="s">
        <v>55</v>
      </c>
      <c r="C28" s="63"/>
      <c r="D28" s="63">
        <v>4</v>
      </c>
      <c r="E28" s="66">
        <f>+D28/D35</f>
        <v>4.0404040404040407E-2</v>
      </c>
    </row>
    <row r="29" spans="1:15" x14ac:dyDescent="0.25">
      <c r="B29" s="67" t="s">
        <v>254</v>
      </c>
      <c r="C29" s="63"/>
      <c r="D29" s="63">
        <v>1</v>
      </c>
      <c r="E29" s="66">
        <f>+D29/D35</f>
        <v>1.0101010101010102E-2</v>
      </c>
    </row>
    <row r="30" spans="1:15" x14ac:dyDescent="0.25">
      <c r="B30" s="67" t="s">
        <v>253</v>
      </c>
      <c r="C30" s="63"/>
      <c r="D30" s="63"/>
      <c r="E30" s="66">
        <f>+D30/D35</f>
        <v>0</v>
      </c>
    </row>
    <row r="31" spans="1:15" x14ac:dyDescent="0.25">
      <c r="B31" s="67" t="s">
        <v>149</v>
      </c>
      <c r="C31" s="63"/>
      <c r="D31" s="63">
        <v>4</v>
      </c>
      <c r="E31" s="66">
        <f>+D31/D35</f>
        <v>4.0404040404040407E-2</v>
      </c>
    </row>
    <row r="32" spans="1:15" x14ac:dyDescent="0.25">
      <c r="B32" s="67" t="s">
        <v>58</v>
      </c>
      <c r="C32" s="63"/>
      <c r="D32" s="63">
        <v>2</v>
      </c>
      <c r="E32" s="66">
        <f>+D32/D35</f>
        <v>2.0202020202020204E-2</v>
      </c>
    </row>
    <row r="33" spans="1:7" x14ac:dyDescent="0.25">
      <c r="B33" s="67" t="s">
        <v>43</v>
      </c>
      <c r="C33" s="63"/>
      <c r="D33" s="63"/>
      <c r="E33" s="66">
        <f>+D33/D35</f>
        <v>0</v>
      </c>
    </row>
    <row r="34" spans="1:7" x14ac:dyDescent="0.25">
      <c r="B34" s="67" t="s">
        <v>37</v>
      </c>
      <c r="C34" s="63"/>
      <c r="D34" s="63">
        <v>25</v>
      </c>
      <c r="E34" s="66">
        <f>+D34/D35</f>
        <v>0.25252525252525254</v>
      </c>
    </row>
    <row r="35" spans="1:7" x14ac:dyDescent="0.25">
      <c r="B35" s="67" t="s">
        <v>84</v>
      </c>
      <c r="C35" s="63"/>
      <c r="D35" s="63">
        <f>SUBTOTAL(9,D24:D34)</f>
        <v>99</v>
      </c>
    </row>
    <row r="38" spans="1:7" ht="81.75" customHeight="1" x14ac:dyDescent="0.25"/>
    <row r="39" spans="1:7" ht="191.25" customHeight="1" x14ac:dyDescent="0.25"/>
    <row r="40" spans="1:7" ht="15" customHeight="1" x14ac:dyDescent="0.25"/>
    <row r="41" spans="1:7" ht="49.5" customHeight="1" x14ac:dyDescent="0.25">
      <c r="A41" s="47">
        <v>3</v>
      </c>
      <c r="B41" s="163" t="s">
        <v>117</v>
      </c>
      <c r="C41" s="163"/>
      <c r="D41" s="163"/>
      <c r="E41" s="163"/>
      <c r="F41" s="163"/>
      <c r="G41" s="163"/>
    </row>
    <row r="43" spans="1:7" ht="30" x14ac:dyDescent="0.25">
      <c r="B43" s="8" t="s">
        <v>80</v>
      </c>
      <c r="C43" s="8">
        <f>SUM(C44:C45)</f>
        <v>99</v>
      </c>
    </row>
    <row r="44" spans="1:7" x14ac:dyDescent="0.25">
      <c r="A44">
        <v>1</v>
      </c>
      <c r="B44" s="8" t="s">
        <v>81</v>
      </c>
      <c r="C44" s="8">
        <v>73</v>
      </c>
      <c r="D44" s="42">
        <f>+C44/C43</f>
        <v>0.73737373737373735</v>
      </c>
      <c r="E44">
        <v>-1</v>
      </c>
    </row>
    <row r="45" spans="1:7" ht="30" x14ac:dyDescent="0.25">
      <c r="B45" s="8" t="s">
        <v>82</v>
      </c>
      <c r="C45" s="8">
        <v>26</v>
      </c>
      <c r="D45" s="42">
        <f>+C45/C43</f>
        <v>0.26262626262626265</v>
      </c>
    </row>
    <row r="54" spans="1:7" ht="23.25" x14ac:dyDescent="0.25">
      <c r="A54" s="47">
        <v>4</v>
      </c>
      <c r="B54" s="163" t="s">
        <v>118</v>
      </c>
      <c r="C54" s="163"/>
      <c r="D54" s="163"/>
      <c r="E54" s="163"/>
      <c r="F54" s="163"/>
      <c r="G54" s="163"/>
    </row>
    <row r="56" spans="1:7" ht="30" x14ac:dyDescent="0.25">
      <c r="B56" s="68" t="s">
        <v>65</v>
      </c>
      <c r="C56" s="43" t="s">
        <v>66</v>
      </c>
    </row>
    <row r="57" spans="1:7" x14ac:dyDescent="0.25">
      <c r="B57" s="8">
        <v>61</v>
      </c>
      <c r="C57" s="41" t="s">
        <v>286</v>
      </c>
      <c r="D57" s="41">
        <f>+B57+C57</f>
        <v>99</v>
      </c>
    </row>
    <row r="58" spans="1:7" x14ac:dyDescent="0.25">
      <c r="B58" s="42">
        <f>+B57/D57</f>
        <v>0.61616161616161613</v>
      </c>
      <c r="C58" s="42">
        <f>+C57/D57</f>
        <v>0.38383838383838381</v>
      </c>
      <c r="D58" s="41"/>
    </row>
    <row r="66" spans="1:7" ht="14.25" customHeight="1" x14ac:dyDescent="0.25"/>
    <row r="68" spans="1:7" ht="23.25" x14ac:dyDescent="0.25">
      <c r="A68" s="47">
        <v>5</v>
      </c>
      <c r="B68" s="163" t="s">
        <v>164</v>
      </c>
      <c r="C68" s="163"/>
      <c r="D68" s="163"/>
      <c r="E68" s="163"/>
      <c r="F68" s="163"/>
      <c r="G68" s="163"/>
    </row>
    <row r="70" spans="1:7" x14ac:dyDescent="0.25">
      <c r="C70" s="69"/>
      <c r="D70" s="69"/>
      <c r="E70" s="70"/>
    </row>
    <row r="71" spans="1:7" ht="30" x14ac:dyDescent="0.25">
      <c r="C71" s="69" t="s">
        <v>106</v>
      </c>
      <c r="D71" s="69">
        <v>7</v>
      </c>
      <c r="E71" s="70">
        <f>+D71/D78</f>
        <v>7.0707070707070704E-2</v>
      </c>
    </row>
    <row r="72" spans="1:7" ht="45" x14ac:dyDescent="0.25">
      <c r="C72" s="69" t="s">
        <v>178</v>
      </c>
      <c r="D72" s="69">
        <v>6</v>
      </c>
      <c r="E72" s="70">
        <f>+D72/D78</f>
        <v>6.0606060606060608E-2</v>
      </c>
    </row>
    <row r="73" spans="1:7" x14ac:dyDescent="0.25">
      <c r="C73" s="69" t="s">
        <v>179</v>
      </c>
      <c r="D73" s="69">
        <v>6</v>
      </c>
      <c r="E73" s="70">
        <f>+D73/D78</f>
        <v>6.0606060606060608E-2</v>
      </c>
    </row>
    <row r="74" spans="1:7" ht="45" x14ac:dyDescent="0.25">
      <c r="C74" s="69" t="s">
        <v>180</v>
      </c>
      <c r="D74" s="69">
        <v>23</v>
      </c>
      <c r="E74" s="70">
        <f>+D74/D78</f>
        <v>0.23232323232323232</v>
      </c>
    </row>
    <row r="75" spans="1:7" x14ac:dyDescent="0.25">
      <c r="C75" s="69" t="s">
        <v>165</v>
      </c>
      <c r="D75" s="69">
        <v>25</v>
      </c>
      <c r="E75" s="70">
        <f>+D75/D78</f>
        <v>0.25252525252525254</v>
      </c>
    </row>
    <row r="76" spans="1:7" ht="75" x14ac:dyDescent="0.25">
      <c r="C76" s="69" t="s">
        <v>190</v>
      </c>
      <c r="D76" s="69">
        <v>11</v>
      </c>
      <c r="E76" s="70">
        <f>+D76/D78</f>
        <v>0.1111111111111111</v>
      </c>
    </row>
    <row r="77" spans="1:7" ht="30" x14ac:dyDescent="0.25">
      <c r="C77" s="69" t="s">
        <v>105</v>
      </c>
      <c r="D77" s="69">
        <v>21</v>
      </c>
      <c r="E77" s="70">
        <f>+D77/D78</f>
        <v>0.21212121212121213</v>
      </c>
    </row>
    <row r="78" spans="1:7" ht="18.75" x14ac:dyDescent="0.25">
      <c r="C78" s="71" t="s">
        <v>84</v>
      </c>
      <c r="D78" s="71">
        <f>SUBTOTAL(9,D70:D77)</f>
        <v>99</v>
      </c>
      <c r="E78" s="2"/>
    </row>
    <row r="85" spans="1:11" ht="23.25" customHeight="1" x14ac:dyDescent="0.25">
      <c r="A85" s="47">
        <v>6</v>
      </c>
      <c r="B85" s="163" t="s">
        <v>119</v>
      </c>
      <c r="C85" s="163"/>
      <c r="D85" s="163"/>
      <c r="E85" s="163"/>
      <c r="F85" s="163"/>
      <c r="G85" s="163"/>
    </row>
    <row r="88" spans="1:11" ht="45" x14ac:dyDescent="0.25">
      <c r="J88" s="29" t="s">
        <v>67</v>
      </c>
      <c r="K88" s="23" t="e">
        <f>+#REF!</f>
        <v>#REF!</v>
      </c>
    </row>
    <row r="94" spans="1:11" ht="30" x14ac:dyDescent="0.25">
      <c r="A94" t="s">
        <v>274</v>
      </c>
    </row>
    <row r="101" spans="1:11" x14ac:dyDescent="0.25">
      <c r="D101" t="s">
        <v>6</v>
      </c>
    </row>
    <row r="104" spans="1:11" ht="23.25" customHeight="1" x14ac:dyDescent="0.25">
      <c r="A104" s="47">
        <v>7</v>
      </c>
      <c r="B104" s="163" t="s">
        <v>115</v>
      </c>
      <c r="C104" s="163"/>
      <c r="D104" s="163"/>
      <c r="E104" s="163"/>
      <c r="F104" s="163"/>
      <c r="G104" s="163"/>
    </row>
    <row r="107" spans="1:11" ht="60" x14ac:dyDescent="0.25">
      <c r="J107" s="29" t="s">
        <v>68</v>
      </c>
      <c r="K107" s="23" t="e">
        <f>+#REF!</f>
        <v>#REF!</v>
      </c>
    </row>
    <row r="110" spans="1:11" ht="45" x14ac:dyDescent="0.25">
      <c r="J110" s="35" t="s">
        <v>219</v>
      </c>
      <c r="K110" s="26" t="e">
        <f>+#REF!</f>
        <v>#REF!</v>
      </c>
    </row>
    <row r="112" spans="1:11" ht="30" x14ac:dyDescent="0.25">
      <c r="A112" t="s">
        <v>274</v>
      </c>
    </row>
    <row r="119" spans="1:7" ht="30" x14ac:dyDescent="0.25">
      <c r="D119" t="s">
        <v>275</v>
      </c>
    </row>
    <row r="121" spans="1:7" ht="117" customHeight="1" x14ac:dyDescent="0.25"/>
    <row r="122" spans="1:7" ht="31.5" customHeight="1" x14ac:dyDescent="0.25">
      <c r="A122" s="47">
        <v>8</v>
      </c>
      <c r="B122" s="163" t="s">
        <v>114</v>
      </c>
      <c r="C122" s="163"/>
      <c r="D122" s="163"/>
      <c r="E122" s="163"/>
      <c r="F122" s="163"/>
      <c r="G122" s="163"/>
    </row>
    <row r="124" spans="1:7" x14ac:dyDescent="0.25">
      <c r="D124" s="55" t="s">
        <v>63</v>
      </c>
      <c r="E124" s="61">
        <f>+E125+E126+E127</f>
        <v>99</v>
      </c>
    </row>
    <row r="125" spans="1:7" x14ac:dyDescent="0.25">
      <c r="C125">
        <f>1-1</f>
        <v>0</v>
      </c>
      <c r="D125" s="55" t="s">
        <v>70</v>
      </c>
      <c r="E125" s="61">
        <v>96</v>
      </c>
      <c r="F125" s="46">
        <f>+E125/E124</f>
        <v>0.96969696969696972</v>
      </c>
    </row>
    <row r="126" spans="1:7" ht="30" x14ac:dyDescent="0.25">
      <c r="D126" s="55" t="s">
        <v>71</v>
      </c>
      <c r="E126" s="8"/>
      <c r="F126" s="46">
        <f>+E126/E124</f>
        <v>0</v>
      </c>
    </row>
    <row r="127" spans="1:7" ht="30" x14ac:dyDescent="0.25">
      <c r="D127" t="s">
        <v>218</v>
      </c>
      <c r="E127">
        <v>3</v>
      </c>
    </row>
    <row r="135" spans="1:7" ht="23.25" customHeight="1" x14ac:dyDescent="0.25">
      <c r="A135" s="47">
        <v>9</v>
      </c>
      <c r="B135" s="163" t="s">
        <v>120</v>
      </c>
      <c r="C135" s="163"/>
      <c r="D135" s="163"/>
      <c r="E135" s="163"/>
      <c r="F135" s="163"/>
      <c r="G135" s="163"/>
    </row>
    <row r="139" spans="1:7" ht="45" x14ac:dyDescent="0.25">
      <c r="B139" s="8" t="s">
        <v>23</v>
      </c>
      <c r="C139" s="8" t="s">
        <v>109</v>
      </c>
    </row>
    <row r="140" spans="1:7" x14ac:dyDescent="0.25">
      <c r="A140">
        <v>-1</v>
      </c>
      <c r="B140" s="8" t="s">
        <v>103</v>
      </c>
      <c r="C140" s="41" t="s">
        <v>283</v>
      </c>
      <c r="D140" s="42">
        <f>+C140/E140</f>
        <v>0.17894736842105263</v>
      </c>
      <c r="E140" s="41">
        <f>+C140+C141</f>
        <v>95</v>
      </c>
    </row>
    <row r="141" spans="1:7" x14ac:dyDescent="0.25">
      <c r="A141">
        <v>1</v>
      </c>
      <c r="B141" s="41" t="s">
        <v>47</v>
      </c>
      <c r="C141" s="41" t="s">
        <v>287</v>
      </c>
      <c r="D141" s="42">
        <f>+C141/E140</f>
        <v>0.82105263157894737</v>
      </c>
      <c r="E141" s="41"/>
    </row>
    <row r="142" spans="1:7" x14ac:dyDescent="0.25">
      <c r="B142" s="44"/>
      <c r="C142" s="44" t="s">
        <v>192</v>
      </c>
      <c r="D142" s="97" t="s">
        <v>193</v>
      </c>
      <c r="E142" s="44"/>
    </row>
    <row r="143" spans="1:7" x14ac:dyDescent="0.25">
      <c r="B143" t="s">
        <v>176</v>
      </c>
      <c r="C143" s="103">
        <f>+C142+E140</f>
        <v>99</v>
      </c>
    </row>
    <row r="144" spans="1:7" x14ac:dyDescent="0.25">
      <c r="B144" s="72"/>
    </row>
    <row r="145" spans="1:7" ht="30" x14ac:dyDescent="0.25">
      <c r="C145" t="s">
        <v>56</v>
      </c>
      <c r="D145" t="s">
        <v>205</v>
      </c>
    </row>
    <row r="146" spans="1:7" x14ac:dyDescent="0.25">
      <c r="B146" t="s">
        <v>47</v>
      </c>
    </row>
    <row r="147" spans="1:7" ht="162.75" customHeight="1" x14ac:dyDescent="0.25"/>
    <row r="148" spans="1:7" ht="45" customHeight="1" x14ac:dyDescent="0.25">
      <c r="A148" s="47">
        <v>10</v>
      </c>
      <c r="B148" s="163" t="s">
        <v>138</v>
      </c>
      <c r="C148" s="163"/>
      <c r="D148" s="163"/>
      <c r="E148" s="163"/>
      <c r="F148" s="163"/>
      <c r="G148" s="163"/>
    </row>
    <row r="150" spans="1:7" ht="30" x14ac:dyDescent="0.25">
      <c r="B150" s="8" t="s">
        <v>139</v>
      </c>
      <c r="C150" s="8">
        <v>6</v>
      </c>
      <c r="D150" s="46">
        <f>+C150/C171</f>
        <v>6.0606060606060608E-2</v>
      </c>
    </row>
    <row r="151" spans="1:7" ht="45" x14ac:dyDescent="0.25">
      <c r="B151" s="8" t="s">
        <v>263</v>
      </c>
      <c r="C151" s="8">
        <v>6</v>
      </c>
      <c r="D151" s="46"/>
    </row>
    <row r="152" spans="1:7" x14ac:dyDescent="0.25">
      <c r="B152" s="8"/>
      <c r="C152" s="8"/>
      <c r="D152" s="46"/>
    </row>
    <row r="153" spans="1:7" ht="30" x14ac:dyDescent="0.25">
      <c r="B153" s="8" t="s">
        <v>177</v>
      </c>
      <c r="C153" s="8">
        <v>3</v>
      </c>
      <c r="D153" s="46">
        <f>+C153/C171</f>
        <v>3.0303030303030304E-2</v>
      </c>
    </row>
    <row r="154" spans="1:7" x14ac:dyDescent="0.25">
      <c r="B154" s="8" t="s">
        <v>38</v>
      </c>
      <c r="C154" s="8">
        <v>3</v>
      </c>
      <c r="D154" s="46">
        <f>+C154/C171</f>
        <v>3.0303030303030304E-2</v>
      </c>
    </row>
    <row r="155" spans="1:7" ht="30" x14ac:dyDescent="0.25">
      <c r="B155" s="8" t="s">
        <v>54</v>
      </c>
      <c r="C155" s="8">
        <v>2</v>
      </c>
      <c r="D155" s="46">
        <f>+C155/C171</f>
        <v>2.0202020202020204E-2</v>
      </c>
    </row>
    <row r="156" spans="1:7" ht="30" x14ac:dyDescent="0.25">
      <c r="B156" s="8" t="s">
        <v>101</v>
      </c>
      <c r="C156" s="8">
        <v>1</v>
      </c>
      <c r="D156" s="46">
        <f>+C156/C171</f>
        <v>1.0101010101010102E-2</v>
      </c>
    </row>
    <row r="157" spans="1:7" x14ac:dyDescent="0.25">
      <c r="B157" s="8" t="s">
        <v>130</v>
      </c>
      <c r="C157" s="8">
        <v>4</v>
      </c>
      <c r="D157" s="46">
        <f>+C157/C171</f>
        <v>4.0404040404040407E-2</v>
      </c>
    </row>
    <row r="158" spans="1:7" ht="30" x14ac:dyDescent="0.25">
      <c r="A158">
        <v>-1</v>
      </c>
      <c r="B158" s="8" t="s">
        <v>129</v>
      </c>
      <c r="C158" s="8">
        <v>20</v>
      </c>
      <c r="D158" s="46">
        <f>+C158/C171</f>
        <v>0.20202020202020202</v>
      </c>
    </row>
    <row r="159" spans="1:7" ht="30" x14ac:dyDescent="0.25">
      <c r="B159" s="8" t="s">
        <v>100</v>
      </c>
      <c r="C159" s="8">
        <v>11</v>
      </c>
      <c r="D159" s="46">
        <f>+C159/C171</f>
        <v>0.1111111111111111</v>
      </c>
    </row>
    <row r="160" spans="1:7" ht="30" x14ac:dyDescent="0.25">
      <c r="B160" s="8" t="s">
        <v>135</v>
      </c>
      <c r="C160" s="8">
        <v>6</v>
      </c>
      <c r="D160" s="46">
        <f>+C160/C171</f>
        <v>6.0606060606060608E-2</v>
      </c>
    </row>
    <row r="161" spans="1:7" ht="30" x14ac:dyDescent="0.25">
      <c r="B161" s="8" t="s">
        <v>181</v>
      </c>
      <c r="C161" s="8">
        <v>2</v>
      </c>
      <c r="D161" s="46">
        <f>+C161/C171</f>
        <v>2.0202020202020204E-2</v>
      </c>
    </row>
    <row r="162" spans="1:7" ht="75" x14ac:dyDescent="0.25">
      <c r="B162" s="8" t="s">
        <v>217</v>
      </c>
      <c r="C162" s="8">
        <v>5</v>
      </c>
      <c r="D162" s="46">
        <f>+C162/C171</f>
        <v>5.0505050505050504E-2</v>
      </c>
    </row>
    <row r="163" spans="1:7" ht="30" x14ac:dyDescent="0.25">
      <c r="B163" s="8" t="s">
        <v>90</v>
      </c>
      <c r="C163" s="8">
        <v>0</v>
      </c>
      <c r="D163" s="46">
        <f>+C163/C171</f>
        <v>0</v>
      </c>
    </row>
    <row r="164" spans="1:7" x14ac:dyDescent="0.25">
      <c r="B164" s="8" t="s">
        <v>136</v>
      </c>
      <c r="C164" s="8">
        <v>3</v>
      </c>
      <c r="D164" s="46">
        <f>+C164/C171</f>
        <v>3.0303030303030304E-2</v>
      </c>
    </row>
    <row r="165" spans="1:7" ht="60" x14ac:dyDescent="0.25">
      <c r="B165" s="8" t="s">
        <v>203</v>
      </c>
      <c r="C165" s="8">
        <v>4</v>
      </c>
      <c r="D165" s="46">
        <f>+C165/C171</f>
        <v>4.0404040404040407E-2</v>
      </c>
    </row>
    <row r="166" spans="1:7" x14ac:dyDescent="0.25">
      <c r="B166" s="8" t="s">
        <v>132</v>
      </c>
      <c r="C166" s="8">
        <v>5</v>
      </c>
      <c r="D166" s="46">
        <f>+C166/C171</f>
        <v>5.0505050505050504E-2</v>
      </c>
    </row>
    <row r="167" spans="1:7" ht="30" x14ac:dyDescent="0.25">
      <c r="B167" s="8" t="s">
        <v>141</v>
      </c>
      <c r="C167" s="8">
        <v>4</v>
      </c>
      <c r="D167" s="46">
        <f>+C167/C171</f>
        <v>4.0404040404040407E-2</v>
      </c>
    </row>
    <row r="168" spans="1:7" x14ac:dyDescent="0.25">
      <c r="B168" s="8" t="s">
        <v>134</v>
      </c>
      <c r="C168" s="8">
        <v>7</v>
      </c>
      <c r="D168" s="46">
        <f>+C168/C171</f>
        <v>7.0707070707070704E-2</v>
      </c>
    </row>
    <row r="169" spans="1:7" x14ac:dyDescent="0.25">
      <c r="B169" s="8" t="s">
        <v>261</v>
      </c>
      <c r="C169" s="8">
        <v>3</v>
      </c>
      <c r="D169" s="46"/>
    </row>
    <row r="170" spans="1:7" ht="75" x14ac:dyDescent="0.25">
      <c r="B170" s="8" t="s">
        <v>216</v>
      </c>
      <c r="C170" s="8">
        <v>4</v>
      </c>
      <c r="D170" s="46">
        <f>+C170/C171</f>
        <v>4.0404040404040407E-2</v>
      </c>
    </row>
    <row r="171" spans="1:7" x14ac:dyDescent="0.25">
      <c r="B171" s="8" t="s">
        <v>84</v>
      </c>
      <c r="C171" s="8">
        <f>SUM(C150:C170)</f>
        <v>99</v>
      </c>
    </row>
    <row r="174" spans="1:7" ht="23.25" customHeight="1" x14ac:dyDescent="0.25">
      <c r="A174" s="47">
        <v>11</v>
      </c>
      <c r="B174" s="163" t="s">
        <v>147</v>
      </c>
      <c r="C174" s="163"/>
      <c r="D174" s="163"/>
      <c r="E174" s="163"/>
      <c r="F174" s="163"/>
      <c r="G174" s="163"/>
    </row>
    <row r="177" spans="1:7" x14ac:dyDescent="0.25">
      <c r="B177" s="8" t="s">
        <v>148</v>
      </c>
      <c r="C177" s="8">
        <v>58</v>
      </c>
      <c r="D177" s="46">
        <f>+C177/C180</f>
        <v>0.58585858585858586</v>
      </c>
    </row>
    <row r="178" spans="1:7" ht="30" x14ac:dyDescent="0.25">
      <c r="B178" s="8" t="s">
        <v>146</v>
      </c>
      <c r="C178" s="8">
        <v>20</v>
      </c>
      <c r="D178" s="46">
        <f>+C178/C180</f>
        <v>0.20202020202020202</v>
      </c>
    </row>
    <row r="179" spans="1:7" ht="30" x14ac:dyDescent="0.25">
      <c r="B179" s="8" t="s">
        <v>144</v>
      </c>
      <c r="C179" s="8">
        <v>21</v>
      </c>
      <c r="D179" s="46">
        <f>+C179/C180</f>
        <v>0.21212121212121213</v>
      </c>
    </row>
    <row r="180" spans="1:7" x14ac:dyDescent="0.25">
      <c r="B180" s="8" t="s">
        <v>84</v>
      </c>
      <c r="C180" s="8">
        <f>SUM(C177:C179)</f>
        <v>99</v>
      </c>
    </row>
    <row r="189" spans="1:7" ht="23.25" customHeight="1" x14ac:dyDescent="0.25">
      <c r="A189" s="47">
        <v>12</v>
      </c>
      <c r="B189" s="163" t="s">
        <v>155</v>
      </c>
      <c r="C189" s="163"/>
      <c r="D189" s="163"/>
      <c r="E189" s="163"/>
      <c r="F189" s="163"/>
      <c r="G189" s="163"/>
    </row>
    <row r="191" spans="1:7" ht="30" x14ac:dyDescent="0.25">
      <c r="B191" s="8" t="s">
        <v>153</v>
      </c>
      <c r="C191" s="8"/>
      <c r="D191" s="46">
        <f>+C191/C198</f>
        <v>0</v>
      </c>
    </row>
    <row r="192" spans="1:7" x14ac:dyDescent="0.25">
      <c r="B192" s="8" t="s">
        <v>103</v>
      </c>
      <c r="C192" s="8">
        <v>16</v>
      </c>
      <c r="D192" s="46">
        <f>+C192/C198</f>
        <v>0.16161616161616163</v>
      </c>
    </row>
    <row r="193" spans="1:25" x14ac:dyDescent="0.25">
      <c r="B193" s="8" t="s">
        <v>52</v>
      </c>
      <c r="C193" s="8">
        <v>1</v>
      </c>
      <c r="D193" s="46">
        <f>+C193/C198</f>
        <v>1.0101010101010102E-2</v>
      </c>
    </row>
    <row r="194" spans="1:25" ht="60" x14ac:dyDescent="0.25">
      <c r="B194" s="8" t="s">
        <v>266</v>
      </c>
      <c r="C194" s="8">
        <v>1</v>
      </c>
      <c r="D194" s="46">
        <f>+C194/C198</f>
        <v>1.0101010101010102E-2</v>
      </c>
      <c r="E194" s="109">
        <f>SUM(D191:D194)</f>
        <v>0.18181818181818185</v>
      </c>
      <c r="F194" s="40" t="s">
        <v>226</v>
      </c>
    </row>
    <row r="195" spans="1:25" ht="45" x14ac:dyDescent="0.25">
      <c r="B195" s="8" t="s">
        <v>154</v>
      </c>
      <c r="C195" s="8">
        <v>77</v>
      </c>
      <c r="D195" s="46">
        <f>+C195/C198</f>
        <v>0.77777777777777779</v>
      </c>
    </row>
    <row r="196" spans="1:25" ht="30" x14ac:dyDescent="0.25">
      <c r="B196" s="8" t="s">
        <v>188</v>
      </c>
      <c r="C196" s="8">
        <v>3</v>
      </c>
      <c r="D196" s="46">
        <f>+C196/C198</f>
        <v>3.0303030303030304E-2</v>
      </c>
    </row>
    <row r="197" spans="1:25" x14ac:dyDescent="0.25">
      <c r="B197" s="8" t="s">
        <v>189</v>
      </c>
      <c r="C197" s="8">
        <v>1</v>
      </c>
      <c r="D197" s="46">
        <f>+C197/C198</f>
        <v>1.0101010101010102E-2</v>
      </c>
    </row>
    <row r="198" spans="1:25" x14ac:dyDescent="0.25">
      <c r="B198" s="8" t="s">
        <v>84</v>
      </c>
      <c r="C198" s="8">
        <f>SUM(C191:C197)</f>
        <v>99</v>
      </c>
    </row>
    <row r="201" spans="1:25" x14ac:dyDescent="0.25">
      <c r="B201" s="116">
        <v>45658</v>
      </c>
      <c r="C201" s="22"/>
      <c r="D201" s="117">
        <v>45689</v>
      </c>
      <c r="E201" s="118"/>
      <c r="F201" s="119">
        <v>45717</v>
      </c>
      <c r="G201" s="120"/>
      <c r="H201" s="121">
        <v>45748</v>
      </c>
      <c r="I201" s="122"/>
      <c r="J201" s="123">
        <v>45778</v>
      </c>
      <c r="K201" s="124"/>
      <c r="L201" s="125">
        <v>45809</v>
      </c>
      <c r="M201" s="126"/>
      <c r="N201" s="140">
        <v>45839</v>
      </c>
      <c r="O201" s="140"/>
      <c r="P201" s="145">
        <v>45870</v>
      </c>
      <c r="Q201" s="145"/>
      <c r="R201" s="147">
        <v>45901</v>
      </c>
      <c r="S201" s="147"/>
      <c r="T201" s="150">
        <v>45931</v>
      </c>
      <c r="U201" s="150"/>
      <c r="V201" s="154">
        <v>45962</v>
      </c>
      <c r="W201" s="154"/>
      <c r="X201" s="157">
        <v>45992</v>
      </c>
      <c r="Y201" s="158"/>
    </row>
    <row r="202" spans="1:25" x14ac:dyDescent="0.25">
      <c r="B202" s="22" t="s">
        <v>268</v>
      </c>
      <c r="C202" s="22" t="s">
        <v>269</v>
      </c>
      <c r="D202" s="118" t="s">
        <v>268</v>
      </c>
      <c r="E202" s="118" t="s">
        <v>269</v>
      </c>
      <c r="F202" s="120" t="s">
        <v>268</v>
      </c>
      <c r="G202" s="120" t="s">
        <v>269</v>
      </c>
      <c r="H202" s="122" t="s">
        <v>268</v>
      </c>
      <c r="I202" s="122" t="s">
        <v>269</v>
      </c>
      <c r="J202" s="124" t="s">
        <v>268</v>
      </c>
      <c r="K202" s="124" t="s">
        <v>269</v>
      </c>
      <c r="L202" s="127" t="s">
        <v>268</v>
      </c>
      <c r="M202" s="127" t="s">
        <v>269</v>
      </c>
      <c r="N202" s="141" t="s">
        <v>268</v>
      </c>
      <c r="O202" s="141" t="s">
        <v>269</v>
      </c>
      <c r="P202" s="143" t="s">
        <v>268</v>
      </c>
      <c r="Q202" s="143" t="s">
        <v>269</v>
      </c>
      <c r="R202" s="148"/>
      <c r="S202" s="148"/>
      <c r="T202" s="151"/>
      <c r="U202" s="151"/>
      <c r="V202" s="155"/>
      <c r="W202" s="155"/>
      <c r="X202" s="159"/>
      <c r="Y202" s="159"/>
    </row>
    <row r="203" spans="1:25" ht="30" x14ac:dyDescent="0.25">
      <c r="A203" t="s">
        <v>153</v>
      </c>
      <c r="B203" s="25"/>
      <c r="C203" s="129">
        <f>+B203/B210</f>
        <v>0</v>
      </c>
      <c r="D203" s="130"/>
      <c r="E203" s="131">
        <f>+D203/D210</f>
        <v>0</v>
      </c>
      <c r="F203" s="132"/>
      <c r="G203" s="133">
        <f>+F203/F210</f>
        <v>0</v>
      </c>
      <c r="H203" s="134"/>
      <c r="I203" s="135">
        <f>+H203/H210</f>
        <v>0</v>
      </c>
      <c r="J203" s="136"/>
      <c r="K203" s="137">
        <f>+J203/J210</f>
        <v>0</v>
      </c>
      <c r="L203" s="127"/>
      <c r="M203" s="128">
        <f>+L203/L210</f>
        <v>0</v>
      </c>
      <c r="N203" s="141">
        <v>13</v>
      </c>
      <c r="O203" s="142">
        <v>0.13541666666666666</v>
      </c>
      <c r="P203" s="143">
        <v>13</v>
      </c>
      <c r="Q203" s="144">
        <v>0.13541666666666666</v>
      </c>
      <c r="R203" s="148"/>
      <c r="S203" s="149">
        <f>+R203/R210</f>
        <v>0</v>
      </c>
      <c r="T203" s="151"/>
      <c r="U203" s="152">
        <f>+T203/T210</f>
        <v>0</v>
      </c>
      <c r="V203" s="155"/>
      <c r="W203" s="156">
        <f>+V203/V210</f>
        <v>0</v>
      </c>
      <c r="X203" s="159"/>
      <c r="Y203" s="160">
        <f>+X203/X210</f>
        <v>0</v>
      </c>
    </row>
    <row r="204" spans="1:25" x14ac:dyDescent="0.25">
      <c r="A204" t="s">
        <v>103</v>
      </c>
      <c r="B204" s="25">
        <v>11</v>
      </c>
      <c r="C204" s="129">
        <f>+B204/B210</f>
        <v>0.12790697674418605</v>
      </c>
      <c r="D204" s="130">
        <v>12</v>
      </c>
      <c r="E204" s="131">
        <f>+D204/D210</f>
        <v>0.13793103448275862</v>
      </c>
      <c r="F204" s="132">
        <v>14</v>
      </c>
      <c r="G204" s="133">
        <f>+F204/F210</f>
        <v>0.15730337078651685</v>
      </c>
      <c r="H204" s="134">
        <v>14</v>
      </c>
      <c r="I204" s="135">
        <f>+H204/H210</f>
        <v>0.15730337078651685</v>
      </c>
      <c r="J204" s="136">
        <v>14</v>
      </c>
      <c r="K204" s="137">
        <f>+J204/J210</f>
        <v>0.15217391304347827</v>
      </c>
      <c r="L204" s="127">
        <v>13</v>
      </c>
      <c r="M204" s="128">
        <f>+L204/L210</f>
        <v>0.13829787234042554</v>
      </c>
      <c r="N204" s="141"/>
      <c r="O204" s="142">
        <v>0</v>
      </c>
      <c r="P204" s="143"/>
      <c r="Q204" s="144">
        <v>0</v>
      </c>
      <c r="R204" s="148">
        <v>16</v>
      </c>
      <c r="S204" s="149">
        <f>+R204/R210</f>
        <v>0.15686274509803921</v>
      </c>
      <c r="T204" s="151">
        <v>16</v>
      </c>
      <c r="U204" s="152">
        <f>+T204/T210</f>
        <v>0.15238095238095239</v>
      </c>
      <c r="V204" s="155">
        <v>16</v>
      </c>
      <c r="W204" s="156">
        <f>+V204/V210</f>
        <v>0.1553398058252427</v>
      </c>
      <c r="X204" s="159">
        <v>16</v>
      </c>
      <c r="Y204" s="160">
        <f>+X204/X210</f>
        <v>0.16161616161616163</v>
      </c>
    </row>
    <row r="205" spans="1:25" x14ac:dyDescent="0.25">
      <c r="A205" t="s">
        <v>52</v>
      </c>
      <c r="B205" s="25">
        <v>1</v>
      </c>
      <c r="C205" s="129">
        <f>+B205/B210</f>
        <v>1.1627906976744186E-2</v>
      </c>
      <c r="D205" s="130"/>
      <c r="E205" s="131">
        <f>+D205/D210</f>
        <v>0</v>
      </c>
      <c r="F205" s="132"/>
      <c r="G205" s="133">
        <f>+F205/F210</f>
        <v>0</v>
      </c>
      <c r="H205" s="134"/>
      <c r="I205" s="135">
        <f>+H205/H210</f>
        <v>0</v>
      </c>
      <c r="J205" s="136"/>
      <c r="K205" s="137">
        <f>+J205/J210</f>
        <v>0</v>
      </c>
      <c r="L205" s="127"/>
      <c r="M205" s="128">
        <f>+L205/L210</f>
        <v>0</v>
      </c>
      <c r="N205" s="141">
        <v>1</v>
      </c>
      <c r="O205" s="142">
        <v>1.0416666666666666E-2</v>
      </c>
      <c r="P205" s="143"/>
      <c r="Q205" s="144">
        <v>1.0416666666666666E-2</v>
      </c>
      <c r="R205" s="148">
        <v>2</v>
      </c>
      <c r="S205" s="149">
        <f>+R205/R210</f>
        <v>1.9607843137254902E-2</v>
      </c>
      <c r="T205" s="151">
        <v>2</v>
      </c>
      <c r="U205" s="152">
        <f>+T205/T210</f>
        <v>1.9047619047619049E-2</v>
      </c>
      <c r="V205" s="155">
        <v>1</v>
      </c>
      <c r="W205" s="156">
        <f>+V205/V210</f>
        <v>9.7087378640776691E-3</v>
      </c>
      <c r="X205" s="159">
        <v>1</v>
      </c>
      <c r="Y205" s="160">
        <f>+X205/X210</f>
        <v>1.0101010101010102E-2</v>
      </c>
    </row>
    <row r="206" spans="1:25" ht="45" x14ac:dyDescent="0.25">
      <c r="A206" t="s">
        <v>266</v>
      </c>
      <c r="B206" s="25"/>
      <c r="C206" s="129">
        <f>+B206/B210</f>
        <v>0</v>
      </c>
      <c r="D206" s="130"/>
      <c r="E206" s="131">
        <f>+D206/D210</f>
        <v>0</v>
      </c>
      <c r="F206" s="132"/>
      <c r="G206" s="133">
        <f>+F206/F210</f>
        <v>0</v>
      </c>
      <c r="H206" s="134"/>
      <c r="I206" s="135">
        <f>+H206/H210</f>
        <v>0</v>
      </c>
      <c r="J206" s="136"/>
      <c r="K206" s="137">
        <f>+J206/J210</f>
        <v>0</v>
      </c>
      <c r="L206" s="127">
        <v>1</v>
      </c>
      <c r="M206" s="128">
        <f>+L206/L210</f>
        <v>1.0638297872340425E-2</v>
      </c>
      <c r="N206" s="141">
        <v>77</v>
      </c>
      <c r="O206" s="142">
        <v>0.8125</v>
      </c>
      <c r="P206" s="143">
        <v>1</v>
      </c>
      <c r="Q206" s="144">
        <v>0.8125</v>
      </c>
      <c r="R206" s="148">
        <v>1</v>
      </c>
      <c r="S206" s="149">
        <f>+R206/R210</f>
        <v>9.8039215686274508E-3</v>
      </c>
      <c r="T206" s="151">
        <v>1</v>
      </c>
      <c r="U206" s="152">
        <f>+T206/T210</f>
        <v>9.5238095238095247E-3</v>
      </c>
      <c r="V206" s="155">
        <v>1</v>
      </c>
      <c r="W206" s="156">
        <f>+V206/V210</f>
        <v>9.7087378640776691E-3</v>
      </c>
      <c r="X206" s="159">
        <v>1</v>
      </c>
      <c r="Y206" s="160">
        <f>+X206/X210</f>
        <v>1.0101010101010102E-2</v>
      </c>
    </row>
    <row r="207" spans="1:25" ht="45" x14ac:dyDescent="0.25">
      <c r="A207" t="s">
        <v>154</v>
      </c>
      <c r="B207" s="25">
        <v>70</v>
      </c>
      <c r="C207" s="129">
        <f>+B207/B210</f>
        <v>0.81395348837209303</v>
      </c>
      <c r="D207" s="130">
        <v>71</v>
      </c>
      <c r="E207" s="131">
        <f>+D207/D210</f>
        <v>0.81609195402298851</v>
      </c>
      <c r="F207" s="132">
        <v>71</v>
      </c>
      <c r="G207" s="133">
        <f>+F207/F210</f>
        <v>0.797752808988764</v>
      </c>
      <c r="H207" s="134">
        <v>71</v>
      </c>
      <c r="I207" s="135">
        <f>+H207/H210</f>
        <v>0.797752808988764</v>
      </c>
      <c r="J207" s="136">
        <v>74</v>
      </c>
      <c r="K207" s="137">
        <f>+J207/J210</f>
        <v>0.80434782608695654</v>
      </c>
      <c r="L207" s="127">
        <v>76</v>
      </c>
      <c r="M207" s="128">
        <f>+L207/L210</f>
        <v>0.80851063829787229</v>
      </c>
      <c r="N207" s="141">
        <v>3</v>
      </c>
      <c r="O207" s="142">
        <v>3.125E-2</v>
      </c>
      <c r="P207" s="143">
        <v>77</v>
      </c>
      <c r="Q207" s="144">
        <v>3.125E-2</v>
      </c>
      <c r="R207" s="148">
        <v>79</v>
      </c>
      <c r="S207" s="149">
        <f>+R207/R210</f>
        <v>0.77450980392156865</v>
      </c>
      <c r="T207" s="151">
        <v>82</v>
      </c>
      <c r="U207" s="152">
        <f>+T207/T210</f>
        <v>0.78095238095238095</v>
      </c>
      <c r="V207" s="155">
        <v>81</v>
      </c>
      <c r="W207" s="156">
        <f>+V207/V210</f>
        <v>0.78640776699029125</v>
      </c>
      <c r="X207" s="159">
        <v>77</v>
      </c>
      <c r="Y207" s="160">
        <f>+X207/X210</f>
        <v>0.77777777777777779</v>
      </c>
    </row>
    <row r="208" spans="1:25" ht="45" x14ac:dyDescent="0.25">
      <c r="A208" t="s">
        <v>188</v>
      </c>
      <c r="B208" s="25">
        <v>3</v>
      </c>
      <c r="C208" s="129">
        <f>+B208/B210</f>
        <v>3.4883720930232558E-2</v>
      </c>
      <c r="D208" s="130">
        <v>3</v>
      </c>
      <c r="E208" s="131">
        <f>+D208/D210</f>
        <v>3.4482758620689655E-2</v>
      </c>
      <c r="F208" s="132">
        <v>3</v>
      </c>
      <c r="G208" s="133">
        <f>+F208/F210</f>
        <v>3.3707865168539325E-2</v>
      </c>
      <c r="H208" s="134">
        <v>3</v>
      </c>
      <c r="I208" s="135">
        <f>+H208/H210</f>
        <v>3.3707865168539325E-2</v>
      </c>
      <c r="J208" s="136">
        <v>3</v>
      </c>
      <c r="K208" s="137">
        <f>+J208/J210</f>
        <v>3.2608695652173912E-2</v>
      </c>
      <c r="L208" s="127">
        <v>3</v>
      </c>
      <c r="M208" s="128">
        <f>+L208/L210</f>
        <v>3.1914893617021274E-2</v>
      </c>
      <c r="N208" s="141">
        <v>1</v>
      </c>
      <c r="O208" s="142">
        <v>1.0416666666666666E-2</v>
      </c>
      <c r="P208" s="143">
        <v>3</v>
      </c>
      <c r="Q208" s="144">
        <v>1.0416666666666666E-2</v>
      </c>
      <c r="R208" s="148">
        <v>3</v>
      </c>
      <c r="S208" s="149">
        <f>+R208/R210</f>
        <v>2.9411764705882353E-2</v>
      </c>
      <c r="T208" s="151">
        <v>3</v>
      </c>
      <c r="U208" s="152">
        <f>+T208/T210</f>
        <v>2.8571428571428571E-2</v>
      </c>
      <c r="V208" s="155">
        <v>3</v>
      </c>
      <c r="W208" s="156">
        <f>+V208/V210</f>
        <v>2.9126213592233011E-2</v>
      </c>
      <c r="X208" s="159">
        <v>3</v>
      </c>
      <c r="Y208" s="160">
        <f>+X208/X210</f>
        <v>3.0303030303030304E-2</v>
      </c>
    </row>
    <row r="209" spans="1:25" ht="30" x14ac:dyDescent="0.25">
      <c r="A209" t="s">
        <v>189</v>
      </c>
      <c r="B209" s="25">
        <v>1</v>
      </c>
      <c r="C209" s="129">
        <f>+B209/B210</f>
        <v>1.1627906976744186E-2</v>
      </c>
      <c r="D209" s="130">
        <v>1</v>
      </c>
      <c r="E209" s="131">
        <f>+D209/D210</f>
        <v>1.1494252873563218E-2</v>
      </c>
      <c r="F209" s="132">
        <v>1</v>
      </c>
      <c r="G209" s="133">
        <f>+F209/F210</f>
        <v>1.1235955056179775E-2</v>
      </c>
      <c r="H209" s="134">
        <v>1</v>
      </c>
      <c r="I209" s="135">
        <f>+H209/H210</f>
        <v>1.1235955056179775E-2</v>
      </c>
      <c r="J209" s="136">
        <v>1</v>
      </c>
      <c r="K209" s="137">
        <f>+J209/J210</f>
        <v>1.0869565217391304E-2</v>
      </c>
      <c r="L209" s="138">
        <v>1</v>
      </c>
      <c r="M209" s="139">
        <f>+L209/L210</f>
        <v>1.0638297872340425E-2</v>
      </c>
      <c r="N209" s="141">
        <v>1</v>
      </c>
      <c r="O209" s="141"/>
      <c r="P209" s="143">
        <v>1</v>
      </c>
      <c r="Q209" s="143"/>
      <c r="R209" s="148">
        <v>1</v>
      </c>
      <c r="S209" s="149">
        <f>+R209/R210</f>
        <v>9.8039215686274508E-3</v>
      </c>
      <c r="T209" s="151">
        <v>1</v>
      </c>
      <c r="U209" s="152">
        <f>+T209/T210</f>
        <v>9.5238095238095247E-3</v>
      </c>
      <c r="V209" s="155">
        <v>1</v>
      </c>
      <c r="W209" s="156">
        <f>+V209/V210</f>
        <v>9.7087378640776691E-3</v>
      </c>
      <c r="X209" s="159">
        <v>1</v>
      </c>
      <c r="Y209" s="160">
        <f>+X209/X210</f>
        <v>1.0101010101010102E-2</v>
      </c>
    </row>
    <row r="210" spans="1:25" ht="30" x14ac:dyDescent="0.25">
      <c r="A210" t="s">
        <v>84</v>
      </c>
      <c r="B210">
        <f>SUM(B203:B209)</f>
        <v>86</v>
      </c>
      <c r="D210">
        <f>SUM(D203:D209)</f>
        <v>87</v>
      </c>
      <c r="F210">
        <f>SUM(F203:F209)</f>
        <v>89</v>
      </c>
      <c r="H210">
        <f>SUM(H203:H209)</f>
        <v>89</v>
      </c>
      <c r="J210">
        <f>SUM(J203:J209)</f>
        <v>92</v>
      </c>
      <c r="L210">
        <f>SUM(L203:L209)</f>
        <v>94</v>
      </c>
      <c r="N210">
        <f>SUM(N203:N209)</f>
        <v>96</v>
      </c>
      <c r="P210">
        <f>SUM(P203:P209)</f>
        <v>95</v>
      </c>
      <c r="R210">
        <f>SUM(R203:R209)</f>
        <v>102</v>
      </c>
      <c r="T210">
        <f>SUM(T203:T209)</f>
        <v>105</v>
      </c>
      <c r="V210">
        <f>SUM(V203:V209)</f>
        <v>103</v>
      </c>
      <c r="X210">
        <f>SUM(X203:X209)</f>
        <v>99</v>
      </c>
    </row>
    <row r="215" spans="1:25" ht="23.25" customHeight="1" x14ac:dyDescent="0.25">
      <c r="A215" s="47">
        <v>13</v>
      </c>
      <c r="B215" s="163" t="s">
        <v>160</v>
      </c>
      <c r="C215" s="163"/>
      <c r="D215" s="163"/>
      <c r="E215" s="163"/>
      <c r="F215" s="163"/>
      <c r="G215" s="163"/>
    </row>
    <row r="217" spans="1:25" ht="30" x14ac:dyDescent="0.25">
      <c r="C217" s="8" t="s">
        <v>156</v>
      </c>
      <c r="D217" s="8">
        <v>34</v>
      </c>
      <c r="E217" s="93">
        <f>+D217/D221</f>
        <v>0.3300970873786408</v>
      </c>
    </row>
    <row r="218" spans="1:25" x14ac:dyDescent="0.25">
      <c r="C218" s="8" t="s">
        <v>157</v>
      </c>
      <c r="D218" s="8">
        <v>9</v>
      </c>
      <c r="E218" s="93">
        <f>+D218/D221</f>
        <v>8.7378640776699032E-2</v>
      </c>
    </row>
    <row r="219" spans="1:25" x14ac:dyDescent="0.25">
      <c r="C219" s="8" t="s">
        <v>158</v>
      </c>
      <c r="D219" s="8">
        <v>59</v>
      </c>
      <c r="E219" s="93">
        <f>+D219/D221</f>
        <v>0.57281553398058249</v>
      </c>
    </row>
    <row r="220" spans="1:25" x14ac:dyDescent="0.25">
      <c r="C220" s="8" t="s">
        <v>159</v>
      </c>
      <c r="D220" s="8">
        <v>1</v>
      </c>
      <c r="E220" s="93">
        <f>+D220/D221</f>
        <v>9.7087378640776691E-3</v>
      </c>
    </row>
    <row r="221" spans="1:25" x14ac:dyDescent="0.25">
      <c r="C221" s="8" t="s">
        <v>84</v>
      </c>
      <c r="D221" s="8">
        <f>SUM(D217:D220)</f>
        <v>103</v>
      </c>
    </row>
    <row r="231" spans="1:10" ht="23.25" x14ac:dyDescent="0.25">
      <c r="A231" s="47">
        <v>14</v>
      </c>
      <c r="C231" s="72" t="s">
        <v>278</v>
      </c>
    </row>
    <row r="232" spans="1:10" x14ac:dyDescent="0.25">
      <c r="I232" t="s">
        <v>281</v>
      </c>
      <c r="J232" t="s">
        <v>282</v>
      </c>
    </row>
    <row r="233" spans="1:10" x14ac:dyDescent="0.25">
      <c r="C233" s="72" t="s">
        <v>279</v>
      </c>
      <c r="G233">
        <v>50</v>
      </c>
    </row>
    <row r="235" spans="1:10" x14ac:dyDescent="0.25">
      <c r="C235" s="72" t="s">
        <v>280</v>
      </c>
      <c r="G235">
        <v>29</v>
      </c>
      <c r="I235">
        <v>100</v>
      </c>
      <c r="J235">
        <v>30</v>
      </c>
    </row>
    <row r="245" spans="1:12" ht="23.25" x14ac:dyDescent="0.25">
      <c r="A245" s="47">
        <v>15</v>
      </c>
    </row>
    <row r="246" spans="1:12" x14ac:dyDescent="0.25">
      <c r="C246" s="73"/>
    </row>
    <row r="247" spans="1:12" s="1" customFormat="1" ht="60" x14ac:dyDescent="0.25">
      <c r="B247" s="1" t="s">
        <v>162</v>
      </c>
      <c r="C247" s="1" t="s">
        <v>109</v>
      </c>
      <c r="D247" s="1" t="s">
        <v>171</v>
      </c>
      <c r="F247" s="162" t="s">
        <v>172</v>
      </c>
      <c r="G247" s="162"/>
      <c r="H247" s="162"/>
      <c r="I247" s="162"/>
      <c r="J247" s="162"/>
      <c r="K247" s="162"/>
      <c r="L247" s="162"/>
    </row>
    <row r="248" spans="1:12" ht="30" x14ac:dyDescent="0.25">
      <c r="B248" t="s">
        <v>161</v>
      </c>
      <c r="C248">
        <v>1</v>
      </c>
      <c r="D248" t="s">
        <v>168</v>
      </c>
      <c r="F248" s="8" t="s">
        <v>234</v>
      </c>
      <c r="G248" s="8" t="s">
        <v>140</v>
      </c>
      <c r="H248" s="8" t="s">
        <v>134</v>
      </c>
      <c r="I248" s="8" t="s">
        <v>135</v>
      </c>
      <c r="J248" s="8" t="s">
        <v>100</v>
      </c>
      <c r="K248" s="8" t="s">
        <v>198</v>
      </c>
      <c r="L248" s="8" t="s">
        <v>90</v>
      </c>
    </row>
    <row r="249" spans="1:12" ht="30" x14ac:dyDescent="0.25">
      <c r="B249" t="s">
        <v>136</v>
      </c>
      <c r="C249">
        <v>1</v>
      </c>
      <c r="D249" t="s">
        <v>231</v>
      </c>
      <c r="E249">
        <v>2</v>
      </c>
      <c r="F249" s="8" t="s">
        <v>232</v>
      </c>
      <c r="G249" s="8" t="s">
        <v>233</v>
      </c>
      <c r="H249" s="8"/>
      <c r="I249" s="8"/>
      <c r="J249" s="8"/>
      <c r="K249" s="8"/>
      <c r="L249" s="8"/>
    </row>
    <row r="250" spans="1:12" x14ac:dyDescent="0.25">
      <c r="B250" t="s">
        <v>132</v>
      </c>
      <c r="C250">
        <v>2</v>
      </c>
      <c r="E250">
        <v>1</v>
      </c>
      <c r="F250" s="8" t="s">
        <v>227</v>
      </c>
      <c r="G250" s="8"/>
      <c r="H250" s="8"/>
      <c r="I250" s="8"/>
      <c r="J250" s="8"/>
      <c r="K250" s="8"/>
      <c r="L250" s="8"/>
    </row>
    <row r="251" spans="1:12" ht="30" x14ac:dyDescent="0.25">
      <c r="B251" t="s">
        <v>104</v>
      </c>
      <c r="C251">
        <v>1</v>
      </c>
      <c r="D251" t="s">
        <v>167</v>
      </c>
      <c r="E251">
        <v>4</v>
      </c>
      <c r="F251" s="8" t="s">
        <v>182</v>
      </c>
      <c r="G251" s="8"/>
      <c r="H251" s="8"/>
      <c r="I251" s="8"/>
      <c r="J251" s="8"/>
      <c r="K251" s="8"/>
      <c r="L251" s="8"/>
    </row>
    <row r="252" spans="1:12" ht="30" x14ac:dyDescent="0.25">
      <c r="B252" t="s">
        <v>163</v>
      </c>
      <c r="C252">
        <v>1</v>
      </c>
      <c r="D252" t="s">
        <v>166</v>
      </c>
      <c r="E252">
        <v>2</v>
      </c>
      <c r="F252" s="8" t="s">
        <v>173</v>
      </c>
      <c r="G252" s="8" t="s">
        <v>228</v>
      </c>
      <c r="H252" s="8"/>
      <c r="I252" s="8"/>
      <c r="J252" s="8"/>
      <c r="K252" s="8"/>
      <c r="L252" s="8"/>
    </row>
    <row r="253" spans="1:12" ht="30" x14ac:dyDescent="0.25">
      <c r="B253" t="s">
        <v>133</v>
      </c>
      <c r="E253">
        <v>2</v>
      </c>
      <c r="F253" s="8" t="s">
        <v>235</v>
      </c>
      <c r="G253" s="8" t="s">
        <v>236</v>
      </c>
    </row>
    <row r="255" spans="1:12" ht="30" x14ac:dyDescent="0.25">
      <c r="F255" s="8" t="s">
        <v>88</v>
      </c>
      <c r="G255" s="8" t="s">
        <v>131</v>
      </c>
    </row>
    <row r="256" spans="1:12" ht="30" x14ac:dyDescent="0.25">
      <c r="B256" t="s">
        <v>139</v>
      </c>
      <c r="C256">
        <v>1</v>
      </c>
      <c r="D256" t="s">
        <v>170</v>
      </c>
      <c r="E256">
        <v>4</v>
      </c>
      <c r="F256" s="8" t="s">
        <v>174</v>
      </c>
      <c r="G256" s="8" t="s">
        <v>169</v>
      </c>
      <c r="H256" s="8" t="s">
        <v>229</v>
      </c>
      <c r="I256" s="8" t="s">
        <v>230</v>
      </c>
    </row>
    <row r="259" spans="3:5" x14ac:dyDescent="0.25">
      <c r="C259">
        <f>SUM(C248:C258)</f>
        <v>7</v>
      </c>
      <c r="E259">
        <f>SUM(E248:E258)</f>
        <v>15</v>
      </c>
    </row>
  </sheetData>
  <mergeCells count="14">
    <mergeCell ref="F247:L247"/>
    <mergeCell ref="B215:G215"/>
    <mergeCell ref="B1:G1"/>
    <mergeCell ref="B21:G21"/>
    <mergeCell ref="B41:G41"/>
    <mergeCell ref="B54:G54"/>
    <mergeCell ref="B68:G68"/>
    <mergeCell ref="B189:G189"/>
    <mergeCell ref="B174:G174"/>
    <mergeCell ref="B148:G148"/>
    <mergeCell ref="B135:G135"/>
    <mergeCell ref="B122:G122"/>
    <mergeCell ref="B104:G104"/>
    <mergeCell ref="B85:G85"/>
  </mergeCells>
  <printOptions horizontalCentered="1" verticalCentered="1"/>
  <pageMargins left="0.15748031496062992" right="0.15748031496062992" top="0.27559055118110237" bottom="0.31496062992125984" header="0.15748031496062992" footer="0.15748031496062992"/>
  <pageSetup paperSize="9" scale="85" orientation="landscape" r:id="rId1"/>
  <headerFooter>
    <oddHeader>&amp;R&amp;D</oddHeader>
    <oddFooter>Page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demissionnaire 2025</vt:lpstr>
      <vt:lpstr>statistiques</vt:lpstr>
      <vt:lpstr>'demissionnaire 2025'!Zone_d_impression</vt:lpstr>
      <vt:lpstr>statistiques!Zone_d_impression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USER_03 ACC</dc:creator>
  <cp:lastModifiedBy>USER_28</cp:lastModifiedBy>
  <cp:lastPrinted>2026-01-26T09:23:32Z</cp:lastPrinted>
  <dcterms:created xsi:type="dcterms:W3CDTF">2021-02-02T09:31:23Z</dcterms:created>
  <dcterms:modified xsi:type="dcterms:W3CDTF">2026-04-06T10:47:16Z</dcterms:modified>
</cp:coreProperties>
</file>